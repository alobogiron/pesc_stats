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<sst xmlns="http://schemas.openxmlformats.org/spreadsheetml/2006/main" count="3908" uniqueCount="3135">
  <si>
    <t>AAAI Conference on Artificial Intelligence - Conferência AAAI sobre Inteligência Artificial</t>
  </si>
  <si>
    <t>International Conference on Autonomous Agents and Multiagent Systems - Conferência Internacional sobre Agentes Autônomos e Sistemas Multiagentes</t>
  </si>
  <si>
    <t>Asian Conference on Computer Vision - Conferência Asiática sobre Visão Computacional</t>
  </si>
  <si>
    <t>International Conference on Affective Computing and Intelligent Interaction - Conferência Internacional sobre Computação Afetiva e Interação Inteligente</t>
  </si>
  <si>
    <t>Australasian Conference on Information Security and Privacy - Conferência Australasiática sobre Segurança e Privacidade da Informação</t>
  </si>
  <si>
    <t>Annual Meeting of the Association for Computational Linguistics - Reunião Anual da Associação de Linguística Computacional</t>
  </si>
  <si>
    <t>ACM Internacional Conference on Interaction Design and Children - Conferência Internacional ACM sobre Design de Interação e Crianças</t>
  </si>
  <si>
    <t>ACM International Conference on Interactive Media Experiences - Conferência Internacional ACM sobre Experiências de Mídia Interativa</t>
  </si>
  <si>
    <t>ACM International Conference on Multimedia - Conferência Internacional ACM sobre Multimídia</t>
  </si>
  <si>
    <t>Applied Cryptography and Network Security - Criptografia Aplicada e Segurança de Rede</t>
  </si>
  <si>
    <t>IEEE International Conference on Autonomic Computing and Self-Organizing Systems - Conferência Internacional IEEE sobre Computação Autonômica e Sistemas Auto-Organizáveis</t>
  </si>
  <si>
    <t>East European Conference on Advances in Databases and Information Systems - Conferência Leste Europeia sobre Avanços em Bancos de Dados e Sistemas de Informação</t>
  </si>
  <si>
    <t>International Workshop on Advances in ICT Infrastructures and Services - Workshop Internacional sobre Avanços em Infraestruturas e Serviços de TIC</t>
  </si>
  <si>
    <t>Canadian Conference on Artificial Intelligence - Conferência Canadense sobre Inteligência Artificial</t>
  </si>
  <si>
    <t>ACS/IEEE International Conference on Computer Systems and Applications - Conferência Internacional ACS/IEEE sobre Sistemas Computacionais e Aplicações</t>
  </si>
  <si>
    <t>International Conference on Application of Information and Communication Technologies - Conferência Internacional sobre Aplicação de Tecnologias de Informação e Comunicação</t>
  </si>
  <si>
    <t>IEEE International Conference on Artificial Intelligence, Data and Knowledge Engineering - Conferência Internacional IEEE sobre Inteligência Artificial, Dados e Engenharia de Conhecimento</t>
  </si>
  <si>
    <t>International Conference on Artificial Intelligence in Education - Conferência Internacional sobre Inteligência Artificial na Educação</t>
  </si>
  <si>
    <t>AAAI/ACM Conference on AI, Ethics, and Society - Conferência AAAI/ACM sobre IA, Ética e Sociedade</t>
  </si>
  <si>
    <t>AAAI Conference on Artificial Intelligence and Interactive Digital Entertainment - Conferência AAAI sobre Inteligência Artificial e Entretenimento Digital Interativo</t>
  </si>
  <si>
    <t>Conference on Artificial Intelligence in Medicine - Conferência sobre Inteligência Artificial na Medicina</t>
  </si>
  <si>
    <t>IEEE International Conference on Advanced Information Networking and Applications - Conferência Internacional IEEE sobre Redes de Informação Avançadas e Aplicações</t>
  </si>
  <si>
    <t>International Conference on Artificial Intelligence and Statistics - Conferência Internacional sobre Inteligência Artificial e Estatística</t>
  </si>
  <si>
    <t>ACM International Conference on AI-Powered Software - Conferência Internacional ACM sobre Software Impulsionado por IA</t>
  </si>
  <si>
    <t>International Conference on Algorithms for Computational Biology - Conferência Internacional sobre Algoritmos para Biologia Computacional</t>
  </si>
  <si>
    <t>Joint ALIO/EURO International Conference on Applied Combinatorial Optimization - Conferência Internacional Conjunta ALIO/EURO sobre Otimização Combinatória Aplicada</t>
  </si>
  <si>
    <t>Americas Conference on Information Systems - Conferência das Américas sobre Sistemas de Informação</t>
  </si>
  <si>
    <t>International Conference on Ambient Systems, Networks and Technologies - Conferência Internacional sobre Sistemas Ambientais, Redes e Tecnologias</t>
  </si>
  <si>
    <t>International Symposium on Applied Reconfigurable Computing - Simpósio Internacional sobre Computação Reconfigurável Aplicada</t>
  </si>
  <si>
    <t>International Conference on Architecture of Computing Systems - Conferência Internacional sobre Arquitetura de Sistemas Computacionais</t>
  </si>
  <si>
    <t>International Conference on Availability, Reliability and Security - Conferência Internacional sobre Disponibilidade, Confiabilidade e Segurança</t>
  </si>
  <si>
    <t>IEEE International Conference on Application-specific Systems, Architectures and Processors - Conferência Internacional IEEE sobre Sistemas, Arquiteturas e Processadores de Aplicação Específica</t>
  </si>
  <si>
    <t>IEEE/ACM International Conference on Automated Software Engineering - Conferência Internacional IEEE/ACM sobre Engenharia de Software Automatizada</t>
  </si>
  <si>
    <t>Annual International Conference on the Theory and Applications of Cryptology and Information Security - Conferência Internacional Anual sobre Teoria e Aplicações de Criptologia e Segurança da Informação</t>
  </si>
  <si>
    <t>IEEE/ACM International Conference on Advances in Social Networks Analysis and Mining - Conferência Internacional IEEE/ACM sobre Avanços em Análise e Mineração de Redes Sociais</t>
  </si>
  <si>
    <t>Asia and South Pacific Design Automation Conference - Conferência de Automação de Design da Ásia e Pacífico Sul</t>
  </si>
  <si>
    <t>IEEE/ACM International Workshop on Automation of Software Testing - Workshop Internacional IEEE/ACM sobre Automação de Testes de Software</t>
  </si>
  <si>
    <t>USENIX Annual Technical Conference - Conferência Técnica Anual USENIX</t>
  </si>
  <si>
    <t>International Workshop on Agents in Traffic and Transportation - Workshop Internacional sobre Agentes em Tráfego e Transporte</t>
  </si>
  <si>
    <t>Audio Mostly Conference - Conferência Audio Mostly</t>
  </si>
  <si>
    <t>International Conference on Blockchain Computing and Applications - Conferência Internacional sobre Computação e Aplicações de Blockchain</t>
  </si>
  <si>
    <t>IEEE/ACM International Conference on Big Data Computing, Applications and Technologies - Conferência Internacional IEEE/ACM sobre Computação, Aplicações e Tecnologias de Big Data</t>
  </si>
  <si>
    <t>International Conference on Big Data and Cloud Computing - Conferência Internacional sobre Big Data e Computação em Nuvem</t>
  </si>
  <si>
    <t>International Conference on Behavior, Economic and Social Computing - Conferência Internacional sobre Computação Comportamental, Econômica e Social</t>
  </si>
  <si>
    <t>IEEE International Conference on BioInformatics and BioEngineering - Conferência Internacional IEEE sobre Bioinformática e Bioengenharia</t>
  </si>
  <si>
    <t>IEEE International Conference on Bioinformatics and Biomedicine - Conferência Internacional IEEE sobre Bioinformática e Biomedicina</t>
  </si>
  <si>
    <t>International Conference on Big Data and Smart Computing - Conferência Internacional sobre Big Data e Computação Inteligente</t>
  </si>
  <si>
    <t>IEEE International Conference on Big Data - Conferência Internacional IEEE sobre Big Data</t>
  </si>
  <si>
    <t>IEEE International Conference on Multimedia Big Data - Conferência Internacional IEEE sobre Big Data Multimídia</t>
  </si>
  <si>
    <t>International Conference on Bioinformatics &amp; Computational Biology - Conferência Internacional sobre Bioinformática e Biologia Computacional</t>
  </si>
  <si>
    <t>IEEE RAS &amp; EMBS International Conference on Biomedical Robotics and Biomechatronics - Conferência Internacional IEEE RAS &amp; EMBS sobre Robótica Biomédica e Biomecatrônica</t>
  </si>
  <si>
    <t>IEEE International Conference on Blockchain - Conferência Internacional IEEE sobre Blockchain</t>
  </si>
  <si>
    <t>IEEE International Symposium on Broadband Multimedia Systems and Broadcasting - Simpósio Internacional IEEE sobre Sistemas Multimídia de Banda Larga e Radiodifusão</t>
  </si>
  <si>
    <t>International Business Modeling and Software Design Symposium - Simpósio Internacional de Modelagem de Negócios e Design de Software</t>
  </si>
  <si>
    <t>British Machine Vision Conference - Conferência Britânica de Visão Computacional</t>
  </si>
  <si>
    <t>International Conference on Business Process Management - Conferência Internacional sobre Gestão de Processos de Negócios</t>
  </si>
  <si>
    <t>Workshop on Social and Human Aspects of Business Process Management - Workshop sobre Aspectos Sociais e Humanos da Gestão de Processos de Negócios</t>
  </si>
  <si>
    <t>Brazilian Conference on Intelligent Systems - Conferência Brasileira de Sistemas Inteligentes</t>
  </si>
  <si>
    <t>Brazilian Workshop on Service Robotics - Workshop Brasileiro de Robótica de Serviço</t>
  </si>
  <si>
    <t>Brazilian Workshop on Social Network Analysis and Mining - Workshop Brasileiro de Análise e Mineração de Redes Sociais</t>
  </si>
  <si>
    <t>Brazilian e-Science Workshop - Workshop Brasileiro de e-Ciência</t>
  </si>
  <si>
    <t>Brazilian Symposium on Bioinformatics - Simpósio Brasileiro de Bioinformática</t>
  </si>
  <si>
    <t>IEEE-EMBS International Conference on Wearable and Implantable Body Sensor Networks - Conferência Internacional IEEE-EMBS sobre Redes de Sensores Corporais Vestíveis e Implantáveis</t>
  </si>
  <si>
    <t>IEEE International Conference on Biometrics: Theory, Applications, and Systems - Conferência Internacional IEEE sobre Biometria: Teoria, Aplicações e Sistemas</t>
  </si>
  <si>
    <t>Brazilian Workshop on Artificial Intelligence in Finance - Workshop Brasileiro de Inteligência Artificial em Finanças</t>
  </si>
  <si>
    <t>International Conference on Automated Deduction - Conferência Internacional sobre Dedução Automatizada</t>
  </si>
  <si>
    <t>International Conference on AI Engineering – Software Engineering for AI - Conferência Internacional sobre Engenharia de IA – Engenharia de Software para IA</t>
  </si>
  <si>
    <t>International Conference on Computer Analysis of Images and Patterns - Conferência Internacional sobre Análise Computacional de Imagens e Padrões</t>
  </si>
  <si>
    <t>International Conference on Advanced Information Systems Engineering - Conferência Internacional sobre Engenharia Avançada de Sistemas de Informação</t>
  </si>
  <si>
    <t>International Conference on Algorithms and Discrete Applied Mathematics - Conferência Internacional sobre Algoritmos e Matemática Aplicada Discreta</t>
  </si>
  <si>
    <t>International Symposium on Computing and Networking - Simpósio Internacional sobre Computação e Redes</t>
  </si>
  <si>
    <t>International Conference on Cryptology and Network Security - Conferência Internacional sobre Criptologia e Segurança de Rede</t>
  </si>
  <si>
    <t>Annual International Conference on Computer Science and Software Engineering - Conferência Internacional Anual sobre Ciência da Computação e Engenharia de Software</t>
  </si>
  <si>
    <t>IEEE Conference on Automation Science and Engineering - Conferência IEEE sobre Ciência e Engenharia de Automação</t>
  </si>
  <si>
    <t>International Conference on Computers and their Applications - Conferência Internacional sobre Computadores e suas Aplicações</t>
  </si>
  <si>
    <t>International Conference on Computer Aided Verification - Conferência Internacional sobre Verificação Auxiliada por Computador</t>
  </si>
  <si>
    <t>Congresso Brasileiro de Automática - Brazilian Congress of Automation</t>
  </si>
  <si>
    <t>IEEE Conference on Business Informatics - Conferência IEEE sobre Informática de Negócios</t>
  </si>
  <si>
    <t>Congresso Brasileiro de Inteligência Computacional - Brazilian Congress on Computational Intelligence</t>
  </si>
  <si>
    <t>Congresso Brasileiro de Informática em Saúde - Brazilian Congress on Health Informatics</t>
  </si>
  <si>
    <t>International Workshop on Content-Based Multimedia Indexing - Workshop Internacional sobre Indexação Multimídia Baseada em Conteúdo</t>
  </si>
  <si>
    <t>International Symposium on Computer-Based Medical Systems - Simpósio Internacional sobre Sistemas Médicos Baseados em Computador</t>
  </si>
  <si>
    <t>International Conference on Compiler Construction - Conferência Internacional sobre Construção de Compiladores</t>
  </si>
  <si>
    <t>IEEE Conference on Computational Complexity - Conferência IEEE sobre Complexidade Computacional</t>
  </si>
  <si>
    <t>Canadian Conference on Computational Geometry - Conferência Canadense de Geometria Computacional</t>
  </si>
  <si>
    <t>Canadian Conference on Electrical and Computer Engineering - Conferência Canadense de Engenharia Elétrica e de Computação</t>
  </si>
  <si>
    <t>IEEE/ACM International Symposium on Cluster, Cloud and Grid Computing - Simpósio Internacional IEEE/ACM sobre Computação em Cluster, Nuvem e Grade</t>
  </si>
  <si>
    <t>Annual IEEE Consumer Communications &amp; Networking Conference - Conferência Anual IEEE de Comunicações e Redes ao Consumidor</t>
  </si>
  <si>
    <t>ACM Symposium on Computer and Communications Security - Simpósio ACM sobre Segurança de Computadores e Comunicações</t>
  </si>
  <si>
    <t>IEEE Conference on Decision and Control - Conferência IEEE sobre Decisão e Controle</t>
  </si>
  <si>
    <t>IEEE Congress on Evolutionary Computation - Congresso IEEE sobre Computação Evolutiva</t>
  </si>
  <si>
    <t>ACM International Conference on Computing Frontiers - Conferência Internacional ACM sobre Fronteiras da Computação</t>
  </si>
  <si>
    <t>Computer Graphics International Conference - Conferência Internacional de Computação Gráfica</t>
  </si>
  <si>
    <t>International Symposium on Code Generation and Optimization - Simpósio Internacional sobre Geração de Código e Otimização</t>
  </si>
  <si>
    <t>International Workshop on Cooperative and Human Aspects of Software Engineering - Workshop Internacional sobre Aspectos Cooperativos e Humanos da Engenharia de Software</t>
  </si>
  <si>
    <t>ACM Conference on Human Factors in Computing Systems - Conferência ACM sobre Fatores Humanos em Sistemas Computacionais</t>
  </si>
  <si>
    <t>ACM SIGCHI Annual Symposium on Computer-Human Interaction in Play - Simpósio Anual ACM SIGCHI sobre Interação Computador-Humano em Jogos</t>
  </si>
  <si>
    <t>International Conference on Algorithms and Complexity - Conferência Internacional sobre Algoritmos e Complexidade</t>
  </si>
  <si>
    <t>Iberoamerican Congress on Pattern Recognition - Congresso Ibero-americano de Reconhecimento de Padrões</t>
  </si>
  <si>
    <t>IEEE Conference on Computational Intelligence in Bioinformatics and Computational Biology - Conferência IEEE sobre Inteligência Computacional em Bioinformática e Biologia Computacional</t>
  </si>
  <si>
    <t>Conferencia Iberoamericana de Software Engineering - Ibero-American Conference on Software Engineering</t>
  </si>
  <si>
    <t>International Conference on Intelligent Text Processing and Computational Linguistics - Conferência Internacional sobre Processamento Inteligente de Texto e Linguística Computacional</t>
  </si>
  <si>
    <t>Congresso Internacional de Design da Informação - International Congress of Information Design</t>
  </si>
  <si>
    <t>ACM International Conference on Information and Knowledge Management - Conferência Internacional ACM sobre Gestão de Informação e Conhecimento</t>
  </si>
  <si>
    <t>Iberian Latin American Congress on Computational Methods - Congresso Ibero-Latino-Americano de Métodos Computacionais</t>
  </si>
  <si>
    <t>Iberian Conference on Information Systems and Technologies - Conferência Ibérica sobre Sistemas e Tecnologias de Informação</t>
  </si>
  <si>
    <t>IEEE International Conference on Information Technology - Conferência Internacional IEEE sobre Tecnologia da Informação</t>
  </si>
  <si>
    <t>Latin-Ibero-American Conference on Operations Research - Conferência Latino-Ibero-Americana de Pesquisa Operacional</t>
  </si>
  <si>
    <t>Conference and Labs of the Evaluation Forum - Conferência e Laboratórios do Fórum de Avaliação</t>
  </si>
  <si>
    <t>Conferencia Latinoamericana de Informática - Latin American Conference on Informatics</t>
  </si>
  <si>
    <t>Latin American Conference on Human Computer Interaction - Conferência Latino-Americana de Interação Humano-Computador</t>
  </si>
  <si>
    <t>International Conference on Cloud Computing and Services Science - Conferência Internacional sobre Computação em Nuvem e Ciência de Serviços</t>
  </si>
  <si>
    <t>IEEE International Conference on Cloud Computing - Conferência Internacional IEEE sobre Computação em Nuvem</t>
  </si>
  <si>
    <t>IEEE International Conference on Cloud Computing Technology and Science - Conferência Internacional IEEE sobre Tecnologia e Ciência da Computação em Nuvem</t>
  </si>
  <si>
    <t>IEEE International Conference on Cloud Networking - Conferência Internacional IEEE sobre Redes em Nuvem</t>
  </si>
  <si>
    <t>IEEE International Conference on Cluster Computing - Conferência Internacional IEEE sobre Computação em Cluster</t>
  </si>
  <si>
    <t>International Symposium on Computer Music Multidisciplinary Research - Simpósio Internacional de Pesquisa Multidisciplinar em Música Computacional</t>
  </si>
  <si>
    <t>Congress on Numerical Methods in Engineering - Congresso sobre Métodos Numéricos em Engenharia</t>
  </si>
  <si>
    <t>Congresso Nacional de Matemática Aplicada e Computacional - National Congress of Applied and Computational Mathematics</t>
  </si>
  <si>
    <t>International Conference on Network and Service Management - Conferência Internacional sobre Gestão de Redes e Serviços</t>
  </si>
  <si>
    <t>International Conference on Combinatorial Optimization and Applications - Conferência Internacional sobre Otimização Combinatória e Aplicações</t>
  </si>
  <si>
    <t>International Computing and Combinatorics Conference - Conferência Internacional de Computação e Combinatória</t>
  </si>
  <si>
    <t>Conference on Games - Conferência sobre Jogos</t>
  </si>
  <si>
    <t>International Conference on Computational Linguistics - Conferência Internacional sobre Linguística Computacional</t>
  </si>
  <si>
    <t>Computational Methods in Systems and Software - Métodos Computacionais em Sistemas e Software</t>
  </si>
  <si>
    <t>International Conference on Complex Networks and Their Applications - Conferência Internacional sobre Redes Complexas e suas Aplicações</t>
  </si>
  <si>
    <t>IEEE Computer Software and Applications Conference - Conferência IEEE de Software e Aplicações Computacionais</t>
  </si>
  <si>
    <t>International Conference on Communication Systems &amp; NetworkS - Conferência Internacional sobre Sistemas de Comunicação e Redes</t>
  </si>
  <si>
    <t>Conference on Emerging Network Experiment and Technology - Conferência sobre Experimentos e Tecnologias de Rede Emergentes</t>
  </si>
  <si>
    <t>Conference on Natural Language Learning - Conferência sobre Aprendizado de Linguagem Natural</t>
  </si>
  <si>
    <t>International Conference on Information Systems and Technology Management - Conferência Internacional sobre Gestão de Sistemas e Tecnologia da Informação</t>
  </si>
  <si>
    <t>International Conference on Cooperative Information Systems - Conferência Internacional sobre Sistemas de Informação Cooperativos</t>
  </si>
  <si>
    <t>Workshop of Urban Computing - Workshop de Computação Urbana</t>
  </si>
  <si>
    <t>International Conference on Integration of Constraint Programming, Artificial Intelligence, and Operations Research - Conferência Internacional sobre Integração de Programação por Restrições, Inteligência Artificial e Pesquisa Operacional</t>
  </si>
  <si>
    <t>Congresso sobre Tecnologias na Educação - Congress on Technologies in Education</t>
  </si>
  <si>
    <t>ACM Conference on Computer Supported Cooperative Work &amp; Social Computing - Conferência ACM sobre Trabalho Cooperativo Suportado por Computador e Computação Social</t>
  </si>
  <si>
    <t>IEEE International Conference on Computer Supported Cooperative Work in Design - Conferência Internacional IEEE sobre Trabalho Cooperativo Suportado por Computador em Design</t>
  </si>
  <si>
    <t>International Conference on Computational Science and Engineering - Conferência Internacional sobre Ciência e Engenharia Computacional</t>
  </si>
  <si>
    <t>International Conference on Computer Supported Education - Conferência Internacional sobre Educação Suportada por Computador</t>
  </si>
  <si>
    <t>IEEE Computer Security Foundations Symposium - Simpósio IEEE de Fundamentos de Segurança Computacional</t>
  </si>
  <si>
    <t>Cyber Security in Networking Conference - Conferência de Cibersegurança em Redes</t>
  </si>
  <si>
    <t>IEEE International Conference on Cyber Security and Resilience - Conferência Internacional IEEE sobre Cibersegurança e Resiliência</t>
  </si>
  <si>
    <t>IEEE Conference on Computer Vision and Pattern Recognition - Conferência IEEE sobre Visão Computacional e Reconhecimento de Padrões</t>
  </si>
  <si>
    <t>IEEE Conference on Computer Vision and Pattern Recognition Companion - Conferência IEEE sobre Visão Computacional e Reconhecimento de Padrões (Complementar)</t>
  </si>
  <si>
    <t>Design Automation Conference - Conferência de Automação de Design</t>
  </si>
  <si>
    <t>International Symposium on Distributed Autonomous Robotic Systems - Simpósio Internacional sobre Sistemas Robóticos Autônomos Distribuídos</t>
  </si>
  <si>
    <t>International Conference on Database Systems for Advanced Applications - Conferência Internacional sobre Sistemas de Banco de Dados para Aplicações Avançadas</t>
  </si>
  <si>
    <t>International Conference on Data Science, Technology and Applications - Conferência Internacional sobre Ciência de Dados, Tecnologia e Aplicações</t>
  </si>
  <si>
    <t>Design, Automation and Test in Europe Conference and Exhibition - Conferência e Exposição de Design, Automação e Teste na Europa</t>
  </si>
  <si>
    <t>International Conference on Big Data Analytics and Knowledge Discovery - Conferência Internacional sobre Análise de Big Data e Descoberta de Conhecimento</t>
  </si>
  <si>
    <t>IFIP WG 11.3 Conference on Data and Applications Security and Privacy - Conferência IFIP WG 11.3 sobre Segurança e Privacidade de Dados e Aplicações</t>
  </si>
  <si>
    <t>International Conference on Distributed Computing in Sensor Systems - Conferência Internacional sobre Computação Distribuída em Sistemas de Sensores</t>
  </si>
  <si>
    <t>International Conference on Database and Expert Systems Applications - Conferência Internacional sobre Bancos de Dados e Aplicações de Sistemas Especialistas</t>
  </si>
  <si>
    <t>IEEE International Symposium on Defect and Fault Tolerance in VLSI Systems - Simpósio Internacional IEEE sobre Tolerância a Defeitos e Falhas em Sistemas VLSI</t>
  </si>
  <si>
    <t>Discrete Geometry and Mathematical Morphology - Geometria Discreta e Morfologia Matemática</t>
  </si>
  <si>
    <t>Annual International Conference on Digital Government Research - Conferência Internacional Anual sobre Pesquisa em Governo Digital</t>
  </si>
  <si>
    <t>International Workshop on Description Logics - Workshop Internacional sobre Lógicas de Descrição</t>
  </si>
  <si>
    <t>International DMS Conference on Visualization and Visual Languages - Conferência Internacional DMS sobre Visualização e Linguagens Visuais</t>
  </si>
  <si>
    <t>ACM Symposium on Document Engineering - Simpósio ACM sobre Engenharia de Documentos</t>
  </si>
  <si>
    <t>International Conference on the Design of Reliable Communication Networks - Conferência Internacional sobre o Design de Redes de Comunicação Confiáveis</t>
  </si>
  <si>
    <t>IEEE/ACM International Symposium on Distributed Simulation and Real-Time Applications - Simpósio Internacional IEEE/ACM sobre Simulação Distribuída e Aplicações em Tempo Real</t>
  </si>
  <si>
    <t>IEEE International Conference on Data Science and Advanced Analytics - Conferência Internacional IEEE sobre Ciência de Dados e Análise Avançada</t>
  </si>
  <si>
    <t>International Conference on Software Development for Enhancing Accessibility and Fighting Info-exclusion - Conferência Internacional sobre Desenvolvimento de Software para Melhorar a Acessibilidade e Combater a Info-exclusão</t>
  </si>
  <si>
    <t>Euromicro Conference on Digital System Design, Architectures, Methods and Tools - Conferência Euromicro sobre Design de Sistemas Digitais, Arquiteturas, Métodos e Ferramentas</t>
  </si>
  <si>
    <t>Annual IEEE/IFIP International Conference on Dependable Systems and Networks - Conferência Internacional Anual IEEE/IFIP sobre Sistemas e Redes Confiáveis</t>
  </si>
  <si>
    <t>Dataset Showcase Workshop - Workshop de Exibição de Conjuntos de Dados</t>
  </si>
  <si>
    <t>International Conference on Engineering Applications and Advances of Artificial Intelligence - Conferência Internacional sobre Aplicações de Engenharia e Avanços da Inteligência Artificial</t>
  </si>
  <si>
    <t>Conference of the European Chapter of the Association for Computational Linguistics - Conferência do Capítulo Europeu da Associação de Linguística Computacional</t>
  </si>
  <si>
    <t>IEEE International Conference on Evolving and Adaptive Intelligent Systems - Conferência Internacional IEEE sobre Sistemas Inteligentes Evolutivos e Adaptativos</t>
  </si>
  <si>
    <t>International Conference on Evaluation and Assessment in Software Engineering - Conferência Internacional sobre Avaliação e Estimativa em Engenharia de Software</t>
  </si>
  <si>
    <t>Euro American Conference on Telematics and Information Systems - Conferência Euro-Americana sobre Telemática e Sistemas de Informação</t>
  </si>
  <si>
    <t>European Conference on Technology Enhanced Learning - Conferência Europeia sobre Aprendizagem Aprimorada por Tecnologia</t>
  </si>
  <si>
    <t>European Conference on Artificial Intelligence - Conferência Europeia sobre Inteligência Artificial</t>
  </si>
  <si>
    <t>European Control Conference - Conferência Europeia de Controle</t>
  </si>
  <si>
    <t>European Conference on Computer Vision - Conferência Europeia sobre Visão Computacional</t>
  </si>
  <si>
    <t>European Conference on Information Systems - Conferência Europeia sobre Sistemas de Informação</t>
  </si>
  <si>
    <t>European Conference on Machine Learning and Principles and Practice of Knowledge Discovery in Databases - Conferência Europeia sobre Aprendizado de Máquina e Princípios e Prática de Descoberta de Conhecimento em Bancos de Dados</t>
  </si>
  <si>
    <t>European Conference on Mobile Robots - Conferência Europeia sobre Robôs Móveis</t>
  </si>
  <si>
    <t>European Conference on Object-Oriented Programming - Conferência Europeia sobre Programação Orientada a Objetos</t>
  </si>
  <si>
    <t>European Conference on Software Architecture - Conferência Europeia sobre Arquitetura de Software</t>
  </si>
  <si>
    <t>European Conference on Computer Supported Cooperative Work - Conferência Europeia sobre Trabalho Cooperativo Suportado por Computador</t>
  </si>
  <si>
    <t>European Conference on Symbolic and Quantitative Approaches to Reasoning and Uncertainty - Conferência Europeia sobre Abordagens Simbólicas e Quantitativas para Raciocínio e Incerteza</t>
  </si>
  <si>
    <t>International Conference on Extending Database Technology - Conferência Internacional sobre Extensão da Tecnologia de Banco de Dados</t>
  </si>
  <si>
    <t>European Dependable Computing Conference - Conferência Europeia de Computação Confiável</t>
  </si>
  <si>
    <t>EEE International Conference on Edge Computing and Communications - Conferência Internacional IEEE sobre Computação de Borda e Comunicações</t>
  </si>
  <si>
    <t>International Conference on Educational Data Mining - Conferência Internacional sobre Mineração de Dados Educacionais</t>
  </si>
  <si>
    <t>IEEE International Enterprise Distributed Object Computing Conference - Conferência Internacional IEEE sobre Computação de Objetos Distribuídos Empresariais</t>
  </si>
  <si>
    <t>Simpósio Brasileiro de Educação em Computação - Brazilian Symposium on Computing Education</t>
  </si>
  <si>
    <t>IEEE Global Engineering Education Conference - Conferência IEEE de Educação em Engenharia Global</t>
  </si>
  <si>
    <t>International Conference on Education and New Learning Technologies - Conferência Internacional sobre Educação e Novas Tecnologias de Aprendizagem</t>
  </si>
  <si>
    <t>International Conference on Electronic Government - Conferência Internacional sobre Governo Eletrônico</t>
  </si>
  <si>
    <t>International Conference on Electronic Government and the Information Systems Perspective - Conferência Internacional sobre Governo Eletrônico e a Perspectiva de Sistemas de Informação</t>
  </si>
  <si>
    <t>International Workshop on Engineering Multiagent Systems - Workshop Internacional sobre Engenharia de Sistemas Multiagentes</t>
  </si>
  <si>
    <t>Annual International Conference of the IEEE Engineering in Medicine and Biology Society - Conferência Internacional Anual da Sociedade de Engenharia em Medicina e Biologia IEEE</t>
  </si>
  <si>
    <t>IEEE-EMBS International Conference on Biomedical and Health Informatics - Conferência Internacional IEEE-EMBS sobre Informática Biomédica e em Saúde</t>
  </si>
  <si>
    <t>International Conference on Evolutionary Multi-Criterion Optimization - Conferência Internacional sobre Otimização Evolutiva Multicritério</t>
  </si>
  <si>
    <t>Encontro Nacional da Associação Nacional de Pós-Graduação e Pesquisa em Administração - National Meeting of the National Association of Graduate Studies and Research in Administration</t>
  </si>
  <si>
    <t>International Conference on Evaluation of Novel Approaches to Software Engineering - Conferência Internacional sobre Avaliação de Novas Abordagens em Engenharia de Software</t>
  </si>
  <si>
    <t>Encontro Nacional de Inteligencia Artificial e Computacional - National Meeting on Artificial and Computational Intelligence</t>
  </si>
  <si>
    <t>Portuguese Conference on Artificial Intelligence - Conferência Portuguesa sobre Inteligência Artificial</t>
  </si>
  <si>
    <t>International Conference on Conceptual Modeling - Conferência Internacional sobre Modelagem Conceitual</t>
  </si>
  <si>
    <t>European Symposium on Algorithms - Simpósio Europeu sobre Algoritmos</t>
  </si>
  <si>
    <t>European Symposium on Artificial Neural Networks, Computational Intelligence and Machine Learning - Simpósio Europeu sobre Redes Neurais Artificiais, Inteligência Computacional e Aprendizado de Máquina</t>
  </si>
  <si>
    <t>IEEE International Conference on e-Science - Conferência Internacional IEEE sobre e-Ciência</t>
  </si>
  <si>
    <t>ACM/IEEE International Symposium on Empirical Software Engineering and Measurement - Simpósio Internacional ACM/IEEE sobre Engenharia de Software Empírica e Medição</t>
  </si>
  <si>
    <t>International Conference on Emerging Smart Technologies and Applications - Conferência Internacional sobre Tecnologias Inteligentes Emergentes e Aplicações</t>
  </si>
  <si>
    <t>Encontro de Teoria da Computação - Meeting on Theory of Computation</t>
  </si>
  <si>
    <t>IEEE International Conference on Emerging Technologies and Factory Automation - Conferência Internacional IEEE sobre Tecnologias Emergentes e Automação de Fábrica</t>
  </si>
  <si>
    <t>IEEE European Test Symposium - Simpósio Europeu de Testes IEEE</t>
  </si>
  <si>
    <t>European Conference on Networks and Communications - Conferência Europeia sobre Redes e Comunicações</t>
  </si>
  <si>
    <t>European Conference on Operational Research - Conferência Europeia de Pesquisa Operacional</t>
  </si>
  <si>
    <t>European Conference on Combinatorics, Graph Theory and Applications - Conferência Europeia sobre Combinatória, Teoria dos Grafos e Aplicações</t>
  </si>
  <si>
    <t>European Conference on Parallel Computing - Conferência Europeia sobre Computação Paralela</t>
  </si>
  <si>
    <t>European Conference on Pattern Languages of Programs - Conferência Europeia sobre Linguagens de Padrões de Programas</t>
  </si>
  <si>
    <t>European Conference on Software Process Improvement - Conferência Europeia sobre Melhoria de Processo de Software</t>
  </si>
  <si>
    <t>European Conference on Computer Systems - Conferência Europeia sobre Sistemas Computacionais</t>
  </si>
  <si>
    <t>Conference of the European Society for Fuzzy Logic and Technology - Conferência da Sociedade Europeia de Lógica Fuzzy e Tecnologia</t>
  </si>
  <si>
    <t>European Signal Processing Conference - Conferência Europeia de Processamento de Sinais</t>
  </si>
  <si>
    <t>European Workshop on Visual Information Processing - Workshop Europeu sobre Processamento de Informação Visual</t>
  </si>
  <si>
    <t>European Conference on the Applications of Evolutionary Computation - Conferência Europeia sobre Aplicações de Computação Evolutiva</t>
  </si>
  <si>
    <t>European Conference on Evolutionary Computation in Combinatorial Optimization - Conferência Europeia sobre Computação Evolutiva em Otimização Combinatória</t>
  </si>
  <si>
    <t>ACM Conference on Fairness, Accountability, and Transparency - Conferência ACM sobre Justiça, Responsabilidade e Transparência</t>
  </si>
  <si>
    <t>International Conference on Formal Aspects of Component Software - Conferência Internacional sobre Aspectos Formais de Software de Componentes</t>
  </si>
  <si>
    <t>International Conference on Fundamental Approaches to Software Engineering - Conferência Internacional sobre Abordagens Fundamentais para Engenharia de Software</t>
  </si>
  <si>
    <t>USENIX Conference on File and Storage Technologies - Conferência USENIX sobre Tecnologias de Arquivo e Armazenamento</t>
  </si>
  <si>
    <t>International Conference on Financial Cryptography and Data Security - Conferência Internacional sobre Criptografia Financeira e Segurança de Dados</t>
  </si>
  <si>
    <t>International Symposium on Fundamentals of Computation Theory - Simpósio Internacional sobre Teoria Fundamental da Computação</t>
  </si>
  <si>
    <t>International Conference on Foundations of Digital Games - Conferência Internacional sobre Fundamentos de Jogos Digitais</t>
  </si>
  <si>
    <t>Federated Conference on Computer Science and Information Systems - Conferência Federada de Ciência da Computação e Sistemas de Informação</t>
  </si>
  <si>
    <t>IEEE International Conference on Automatic Face and Gesture Recognition - Conferência Internacional IEEE sobre Reconhecimento Automático de Face e Gestos</t>
  </si>
  <si>
    <t>International Conference on Future Internet of Things and Cloud - Conferência Internacional sobre Futura Internet das Coisas e Nuvem</t>
  </si>
  <si>
    <t>IEEE Frontiers in Education Conference - Conferência IEEE de Fronteiras na Educação</t>
  </si>
  <si>
    <t>International Conference on Forntiers of Information Technology - Conferência Internacional sobre Fronteiras da Tecnologia da Informação</t>
  </si>
  <si>
    <t>International Florida Artificial Intelligence Conference - Conferência Internacional de Inteligência Artificial da Flórida</t>
  </si>
  <si>
    <t>International Conference on Formal Methods in Computer-Aided Design - Conferência Internacional sobre Métodos Formais em Design Auxiliado por Computador</t>
  </si>
  <si>
    <t>International Conference on Formal Ontology in Information Systems - Conferência Internacional sobre Ontologia Formal em Sistemas de Informação</t>
  </si>
  <si>
    <t>International Conference on Foundations of Software Science and Computation Structures - Conferência Internacional sobre Fundamentos da Ciência de Software e Estruturas de Computação</t>
  </si>
  <si>
    <t>International Conference on Formal Structures for Computation and Deduction - Conferência Internacional sobre Estruturas Formais para Computação e Dedução</t>
  </si>
  <si>
    <t>Joint Meeting on European Software Engineering Conference and Foundations of Software Engineering - Reunião Conjunta sobre Conferência Europeia de Engenharia de Software e Fundamentos de Engenharia de Software</t>
  </si>
  <si>
    <t>International Conference on Fundamentals of Software Engineering - Conferência Internacional sobre Fundamentos da Engenharia de Software</t>
  </si>
  <si>
    <t>Future Technologies Conference - Conferência de Tecnologias Futuras</t>
  </si>
  <si>
    <t>International Conference on Information Fusion - Conferência Internacional sobre Fusão de Informações</t>
  </si>
  <si>
    <t>IEEE International Conference on Fuzzy Systems - Conferência Internacional IEEE sobre Sistemas Fuzzy</t>
  </si>
  <si>
    <t>International Workshop on Games and Software Engineering - Workshop Internacional sobre Jogos e Engenharia de Software</t>
  </si>
  <si>
    <t>Genetic and Evolutionary Computation Conference - Conferência de Computação Genética e Evolutiva</t>
  </si>
  <si>
    <t>International Conference on Economics of Grids, Clouds, Systems and Services - Conferência Internacional sobre Economia de Grades, Nuvens, Sistemas e Serviços</t>
  </si>
  <si>
    <t>IEEE Games, Entertainment, Media Conference - Conferência IEEE de Jogos, Entretenimento e Mídia</t>
  </si>
  <si>
    <t>Brazilian Symposium on GeoInformatics - Simpósio Brasileiro de Geoinformática</t>
  </si>
  <si>
    <t>IARIA International Conference on Advanced Geographic Information Systems, Applications, and Services - Conferência Internacional IARIA sobre Sistemas Avançados de Informação Geográfica, Aplicações e Serviços</t>
  </si>
  <si>
    <t>Global Information Infrastructure and Networking Symposium - Simpósio Global de Infraestrutura de Informação e Redes</t>
  </si>
  <si>
    <t>IEEE Global Communications Conference - Conferência Global de Comunicações IEEE</t>
  </si>
  <si>
    <t>ACM International Conference on Generative Programming: Concepts and Experiences - Conferência Internacional ACM sobre Programação Generativa: Conceitos e Experiências</t>
  </si>
  <si>
    <t>International Conference on Computer Graphics Theory and Applications - Conferência Internacional sobre Teoria e Aplicações de Computação Gráfica</t>
  </si>
  <si>
    <t>International Conference on Supporting Group Work - Conferência Internacional sobre Apoio ao Trabalho em Grupo</t>
  </si>
  <si>
    <t>International Conference on Hybrid Artificial Intelligence Systems - Conferência Internacional sobre Sistemas Híbridos de Inteligência Artificial</t>
  </si>
  <si>
    <t>International Conference on Human-Centered Software Engineering - Conferência Internacional sobre Engenharia de Software Centrada no Ser Humano</t>
  </si>
  <si>
    <t>IEEE International Conference on E-health Networking, Application &amp; Services - Conferência Internacional IEEE sobre Redes, Aplicações e Serviços de Saúde Eletrônica</t>
  </si>
  <si>
    <t>International Conference on Health Informatics - Conferência Internacional sobre Informática em Saúde</t>
  </si>
  <si>
    <t>Hawaii International Conference on System Sciences - Conferência Internacional de Ciências de Sistemas do Havaí</t>
  </si>
  <si>
    <t>International Conference on Health Informatics and Medical Systems - Conferência Internacional sobre Informática em Saúde e Sistemas Médicos</t>
  </si>
  <si>
    <t>IEEE International Conference on High Performance Computing, Data and Analytics - Conferência Internacional IEEE sobre Computação de Alto Desempenho, Dados e Análise</t>
  </si>
  <si>
    <t>International Conference on Hybrid Intelligent Systems - Conferência Internacional sobre Sistemas Inteligentes Híbridos</t>
  </si>
  <si>
    <t>International Conference on High Performance Computing &amp; Simulation - Conferência Internacional sobre Computação de Alto Desempenho e Simulação</t>
  </si>
  <si>
    <t>Haskell Symposium - Simpósio Haskell</t>
  </si>
  <si>
    <t>ACM Conference on Hypertext and Social Media - Conferência ACM sobre Hipertexto e Mídia Social</t>
  </si>
  <si>
    <t>IEEE RAS International Conference on Humanoid Robot - Conferência Internacional IEEE RAS sobre Robôs Humanoides</t>
  </si>
  <si>
    <t>IEEE International Instrumentation and Measurement Technology Conference - Conferência Internacional IEEE de Tecnologia de Instrumentação e Medição</t>
  </si>
  <si>
    <t>IFIP International Conference on e-Business, e-Services, and e-Society - Conferência Internacional IFIP sobre e-Business, e-Serviços e e-Sociedade</t>
  </si>
  <si>
    <t>Industry Applications Society Annual Meeting - Reunião Anual da Sociedade de Aplicações Industriais</t>
  </si>
  <si>
    <t>Ibero-American Conference on Artificial Intelligence - Conferência Ibero-Americana sobre Inteligência Artificial</t>
  </si>
  <si>
    <t>Workshop Iberchip - Iberchip Workshop</t>
  </si>
  <si>
    <t>Iberspeech Conference - Conferência Iberspeech</t>
  </si>
  <si>
    <t>Iberian Conference on Pattern Recognition and Image Analysis - Conferência Ibérica sobre Reconhecimento de Padrões e Análise de Imagem</t>
  </si>
  <si>
    <t>IEEE International Conference on Cloud Engineering - Conferência Internacional IEEE sobre Engenharia de Nuvem</t>
  </si>
  <si>
    <t>International Joint Conference on Knowledge Discovery, Knowledge Engineering and Knowledge Management - Conferência Internacional Conjunta sobre Descoberta de Conhecimento, Engenharia de Conhecimento e Gestão de Conhecimento</t>
  </si>
  <si>
    <t>International Conference on Agents and Artificial Intelligence - Conferência Internacional sobre Agentes e Inteligência Artificial</t>
  </si>
  <si>
    <t>International Conference on Applied Informatics - Conferência Internacional sobre Informática Aplicada</t>
  </si>
  <si>
    <t>International Conference on Artificial Intelligence and Soft Computing - Conferência Internacional sobre Inteligência Artificial e Computação Suave</t>
  </si>
  <si>
    <t>International Conference on Artificial Intelligence - Conferência Internacional sobre Inteligência Artificial</t>
  </si>
  <si>
    <t>International Colloquium on Automata, Languages, and Programming - Colóquio Internacional sobre Autômatos, Linguagens e Programação</t>
  </si>
  <si>
    <t>IEEE International Conference on Advanced Learning Technologies - Conferência Internacional IEEE sobre Tecnologias Avançadas de Aprendizagem</t>
  </si>
  <si>
    <t>International Conference on Artificial Neural Networks - Conferência Internacional sobre Redes Neurais Artificiais</t>
  </si>
  <si>
    <t>International Conference on Automated Planning and Scheduling - Conferência Internacional sobre Planejamento e Agendamento Automatizado</t>
  </si>
  <si>
    <t>International Conference on Advanced Robotics - Conferência Internacional sobre Robótica Avançada</t>
  </si>
  <si>
    <t>International Conference on Control, Automation, Robotics and Vision - Conferência Internacional sobre Controle, Automação, Robótica e Visão</t>
  </si>
  <si>
    <t>IEEE International Conference on Acoustics, Speech and Signal Processing - Conferência Internacional IEEE sobre Acústica, Fala e Processamento de Sinais</t>
  </si>
  <si>
    <t>International Conference on Biometrics - Conferência Internacional sobre Biometria</t>
  </si>
  <si>
    <t>IEEE International Conference on Blockchain and Cryptocurrency - Conferência Internacional IEEE sobre Blockchain e Criptomoeda</t>
  </si>
  <si>
    <t>International Conference on Communications - Conferência Internacional sobre Comunicações</t>
  </si>
  <si>
    <t>International Conference on Communications Companion - Conferência Internacional sobre Comunicações (Complementar)</t>
  </si>
  <si>
    <t>International Conference on Computational Advances in Bio and Medical Sciences - Conferência Internacional sobre Avanços Computacionais em Ciências Bio e Médicas</t>
  </si>
  <si>
    <t>International Conference on Control, Automation and Robotics - Conferência Internacional sobre Controle, Automação e Robótica</t>
  </si>
  <si>
    <t>International Conference on Computer Communications and Networks - Conferência Internacional sobre Comunicações e Redes de Computadores</t>
  </si>
  <si>
    <t>International Conference on Computer Design - Conferência Internacional sobre Design de Computadores</t>
  </si>
  <si>
    <t>International Conference on Computers in Education - Conferência Internacional sobre Computadores na Educação</t>
  </si>
  <si>
    <t>International Conference on Computers Helping People with Special Needs - Conferência Internacional sobre Computadores Ajudando Pessoas com Necessidades Especiais</t>
  </si>
  <si>
    <t>International Conference on Computational Logistics - Conferência Internacional sobre Logística Computacional</t>
  </si>
  <si>
    <t>IEEE International Conference on Intelligent Computer Communication and Processing - Conferência Internacional IEEE sobre Comunicação e Processamento Inteligente de Computadores</t>
  </si>
  <si>
    <t>International Conference on Computational Science - Conferência Internacional sobre Ciência Computacional</t>
  </si>
  <si>
    <t>International Conference on Computational Science and Its Applications - Conferência Internacional sobre Ciência Computacional e suas Aplicações</t>
  </si>
  <si>
    <t>IEEE International Conference on Computer Vision - Conferência Internacional IEEE sobre Visão Computacional</t>
  </si>
  <si>
    <t>IEEE International Conference on Computer Vision Companion - Conferência Internacional IEEE sobre Visão Computacional (Complementar)</t>
  </si>
  <si>
    <t>International Conference on Document Analysis and Recognition - Conferência Internacional sobre Análise e Reconhecimento de Documentos</t>
  </si>
  <si>
    <t>International Conference on Distributed Computing Systems - Conferência Internacional sobre Sistemas de Computação Distribuída</t>
  </si>
  <si>
    <t>IEEE International Conference on Data Engineering - Conferência Internacional IEEE sobre Engenharia de Dados</t>
  </si>
  <si>
    <t>International Conference on Digital Image Processing - Conferência Internacional sobre Processamento Digital de Imagens</t>
  </si>
  <si>
    <t>IEEE International Conference on Data Mining - Conferência Internacional IEEE sobre Mineração de Dados</t>
  </si>
  <si>
    <t>IFIP International Conference on Entertainment Computing - Conferência Internacional IFIP sobre Computação de Entretenimento</t>
  </si>
  <si>
    <t>IEEE International Conference on Electronics, Circuits and Systems - Conferência Internacional IEEE sobre Eletrônica, Circuitos e Sistemas</t>
  </si>
  <si>
    <t>International Conference on Theory and Practice of Eletronic Governance - Conferência Internacional sobre Teoria e Prática da Governança Eletrônica</t>
  </si>
  <si>
    <t>International Conference on Enterprise Information Systems - Conferência Internacional sobre Sistemas de Informação Empresarial</t>
  </si>
  <si>
    <t>International Conference on Formal Concept Analysis - Conferência Internacional sobre Análise Formal de Conceitos</t>
  </si>
  <si>
    <t>International Conference on Formal Engineering Methods - Conferência Internacional sobre Métodos de Engenharia Formal</t>
  </si>
  <si>
    <t>International Conference on Grammatical Inference - Conferência Internacional sobre Inferência Gramatical</t>
  </si>
  <si>
    <t>International Conference on Game Jams, Hackathons, and Game Creation Events - Conferência Internacional sobre Game Jams, Hackathons e Eventos de Criação de Jogos</t>
  </si>
  <si>
    <t>IEEE International Conference on Healthcare Informatics - Conferência Internacional IEEE sobre Informática em Saúde</t>
  </si>
  <si>
    <t>International Conference on Image Analysis and Processing - Conferência Internacional sobre Análise e Processamento de Imagens</t>
  </si>
  <si>
    <t>International Conference on Image Analysis and Recognition - Conferência Internacional sobre Análise e Reconhecimento de Imagens</t>
  </si>
  <si>
    <t>International Conference on Information and Communications Security - Conferência Internacional sobre Segurança de Informações e Comunicações</t>
  </si>
  <si>
    <t>International Conference on Informatics in Control, Automation and Robotics - Conferência Internacional sobre Informática em Controle, Automação e Robótica</t>
  </si>
  <si>
    <t>International Conference on the Internet of Things - Conferência Internacional sobre a Internet das Coisas</t>
  </si>
  <si>
    <t>IEEE International Conference on Image Processing - Conferência Internacional IEEE sobre Processamento de Imagens</t>
  </si>
  <si>
    <t>International Conference on Information Systems Security - Conferência Internacional sobre Segurança de Sistemas de Informação</t>
  </si>
  <si>
    <t>IEEE International Conference on Industrial Technology - Conferência Internacional IEEE sobre Tecnologia Industrial</t>
  </si>
  <si>
    <t>International Conference on Information Technology &amp; Systems - Conferência Internacional sobre Tecnologia e Sistemas de Informação</t>
  </si>
  <si>
    <t>International Conference on Information Technology and Education - Conferência Internacional sobre Tecnologia da Informação e Educação</t>
  </si>
  <si>
    <t>International Conference on Information Theoretic Security - Conferência Internacional sobre Segurança Teórica da Informação</t>
  </si>
  <si>
    <t>International Conference on Image, Vision and Computing - Conferência Internacional sobre Imagem, Visão e Computação</t>
  </si>
  <si>
    <t>IEEE International Conference on Knowledge Graph - Conferência Internacional IEEE sobre Grafos de Conhecimento</t>
  </si>
  <si>
    <t>International Conference on Interactive Collaborative Learning - Conferência Internacional sobre Aprendizagem Colaborativa Interativa</t>
  </si>
  <si>
    <t>International Conference on Learning Representations - Conferência Internacional sobre Representações de Aprendizagem</t>
  </si>
  <si>
    <t>International Computer Music Conference - Conferência Internacional de Música Computacional</t>
  </si>
  <si>
    <t>IEEE International Conference on Multimedia and Expo Companion - Conferência Internacional IEEE sobre Multimídia e Exposição (Complementar)</t>
  </si>
  <si>
    <t>International Conference on Machine Learning - Conferência Internacional sobre Aprendizado de Máquina</t>
  </si>
  <si>
    <t>IEEE International Conference on Machine Learning and Applications - Conferência Internacional IEEE sobre Aprendizado de Máquina e Aplicações</t>
  </si>
  <si>
    <t>International Conference on Machine Learning and Computing - Conferência Internacional sobre Aprendizado de Máquina e Computação</t>
  </si>
  <si>
    <t>ACM International Conference on Multimedia Retrieval - Conferência Internacional ACM sobre Recuperação Multimídia</t>
  </si>
  <si>
    <t>International Conference on Computing, Networking and Communications - Conferência Internacional sobre Computação, Redes e Comunicações</t>
  </si>
  <si>
    <t>IEEE International Conference on Networking, Sensing and Control - Conferência Internacional IEEE sobre Redes, Sensores e Controle</t>
  </si>
  <si>
    <t>International Conference on Information Networking - Conferência Internacional sobre Redes de Informação</t>
  </si>
  <si>
    <t>International Conference on Internet Computing and Internet of Things - Conferência Internacional sobre Computação na Internet e Internet das Coisas</t>
  </si>
  <si>
    <t>International Conference on Neural Information Processing - Conferência Internacional sobre Processamento de Informação Neural</t>
  </si>
  <si>
    <t>International Conference on Parallel and Distributed Systems - Conferência Internacional sobre Sistemas Paralelos e Distribuídos</t>
  </si>
  <si>
    <t>International Conference on Program Comprehension - Conferência Internacional sobre Compreensão de Programas</t>
  </si>
  <si>
    <t>International Conference on Performance Engineering - Conferência Internacional sobre Engenharia de Desempenho</t>
  </si>
  <si>
    <t>International Conference on Parallel Processing - Conferência Internacional sobre Processamento Paralelo</t>
  </si>
  <si>
    <t>International Conference on Pattern Recognition - Conferência Internacional sobre Reconhecimento de Padrões</t>
  </si>
  <si>
    <t>International Conference on Pattern Recognition Applications and Methods - Conferência Internacional sobre Aplicações e Métodos de Reconhecimento de Padrões</t>
  </si>
  <si>
    <t>IEEE International Conference on Robotics and Automation - Conferência Internacional IEEE sobre Robótica e Automação</t>
  </si>
  <si>
    <t>International Conference on Robotics and Automation Engineering - Conferência Internacional sobre Engenharia de Robótica e Automação</t>
  </si>
  <si>
    <t>International Conference on Supercomputing - Conferência Internacional sobre Supercomputação</t>
  </si>
  <si>
    <t>International Conference on Software Architecture - Conferência Internacional sobre Arquitetura de Software</t>
  </si>
  <si>
    <t>International Conference on Semantic Computing - Conferência Internacional sobre Computação Semântica</t>
  </si>
  <si>
    <t>International Conference on Software Engineering - Conferência Internacional sobre Engenharia de Software</t>
  </si>
  <si>
    <t>International Conference on Software Engineering Companion - Conferência Internacional sobre Engenharia de Software (Complementar)</t>
  </si>
  <si>
    <t>ACM International Conference on Software Engineering: New Ideas and Emerging Results - Conferência Internacional ACM sobre Engenharia de Software: Novas Ideias e Resultados Emergentes</t>
  </si>
  <si>
    <t>ACM International Conference on Software Engineering: Software Engineering Education and Training - Conferência Internacional ACM sobre Engenharia de Software: Educação e Treinamento em Engenharia de Software</t>
  </si>
  <si>
    <t>ACM International Conference on Software Engineering: Software Engineering in Practice - Conferência Internacional ACM sobre Engenharia de Software: Engenharia de Software na Prática</t>
  </si>
  <si>
    <t>International Conference on Software Engineering: Software Engineering in Society - Conferência Internacional sobre Engenharia de Software: Engenharia de Software na Sociedade</t>
  </si>
  <si>
    <t>International Conference on Software Engineering and Service Science - Conferência Internacional sobre Engenharia de Software e Ciência de Serviços</t>
  </si>
  <si>
    <t>International Conference on Swarm Intelligence - Conferência Internacional sobre Inteligência de Enxame</t>
  </si>
  <si>
    <t>IEEE International Conference on Software Maintenance and Evolution - Conferência Internacional IEEE sobre Manutenção e Evolução de Software</t>
  </si>
  <si>
    <t>International Conference on Software Business - Conferência Internacional sobre Negócios de Software</t>
  </si>
  <si>
    <t>International Conference on Software Technologies - Conferência Internacional sobre Tecnologias de Software</t>
  </si>
  <si>
    <t>International Conference on Software and Systems Process - Conferência Internacional sobre Processo de Software e Sistemas</t>
  </si>
  <si>
    <t>IEEE International Conference on Software Testing, Verification and Validation - Conferência Internacional IEEE sobre Testes, Verificação e Validação de Software</t>
  </si>
  <si>
    <t>International Conference on Telecommunications - Conferência Internacional sobre Telecomunicações</t>
  </si>
  <si>
    <t>International Colloquium on Theoretical Aspects of Computing - Colóquio Internacional sobre Aspectos Teóricos da Computação</t>
  </si>
  <si>
    <t>IEEE International Conference on Tools with Artificial Intelligence - Conferência Internacional IEEE sobre Ferramentas com Inteligência Artificial</t>
  </si>
  <si>
    <t>International Conference on Information &amp; Communication Technologies and Development - Conferência Internacional sobre Tecnologias de Informação e Comunicação e Desenvolvimento</t>
  </si>
  <si>
    <t>Conference on the Theory of Information Retrieval - Conferência sobre a Teoria de Recuperação de Informação</t>
  </si>
  <si>
    <t>International Conference on Transparent Optical Networks - Conferência Internacional sobre Redes Ópticas Transparentes</t>
  </si>
  <si>
    <t>IFIP International Conference on Testing Software and Systems - Conferência Internacional IFIP sobre Testes de Software e Sistemas</t>
  </si>
  <si>
    <t>International Conference on Unmanned Aircraft Systems - Conferência Internacional sobre Sistemas de Aeronaves Não Tripuladas</t>
  </si>
  <si>
    <t>International Conference on Ultra Modern Telecommunications - Conferência Internacional sobre Telecomunicações Ultra Modernas</t>
  </si>
  <si>
    <t>International Conference on Wireless Networks - Conferência Internacional sobre Redes Sem Fio</t>
  </si>
  <si>
    <t>International AAAI Conference on Web and Social Media - Conferência Internacional AAAI sobre Web e Mídia Social</t>
  </si>
  <si>
    <t>International Symposium on Intelligent Data Analysis - Simpósio Internacional sobre Análise Inteligente de Dados</t>
  </si>
  <si>
    <t>International Conference on Intelligent Data Engineering and Automated Learning - Conferência Internacional sobre Engenharia de Dados Inteligente e Aprendizado Automatizado</t>
  </si>
  <si>
    <t>International Database Engineering and Applications Symposium - Simpósio Internacional de Engenharia e Aplicações de Banco de Dados</t>
  </si>
  <si>
    <t>Annual Conference of the IEEE Industrial Electronics Society - Conferência Anual da Sociedade de Eletrônica Industrial IEEE</t>
  </si>
  <si>
    <t>IEEE International Conference on Imaging Systems and Techniques - Conferência Internacional IEEE sobre Sistemas e Técnicas de Imagem</t>
  </si>
  <si>
    <t>IEEE Cloud Summit - Cúpula de Nuvem IEEE</t>
  </si>
  <si>
    <t>IEEE Conference on Nanotechnology - Conferência IEEE sobre Nanotecnologia</t>
  </si>
  <si>
    <t>IEEE International Conference on Services Computing - Conferência Internacional IEEE sobre Computação de Serviços</t>
  </si>
  <si>
    <t>IFIP International Embedded Systems Symposium - Simpósio Internacional IFIP de Sistemas Embarcados</t>
  </si>
  <si>
    <t>World Congress of the International Federation of Automatic Control - Congresso Mundial da Federação Internacional de Controle Automático</t>
  </si>
  <si>
    <t>World Congress of International Fuzzy Systems Association - Congresso Mundial da Associação Internacional de Sistemas Fuzzy</t>
  </si>
  <si>
    <t>IEEE International Geoscience and Remote Sensing Symposium - Simpósio Internacional IEEE de Geociência e Sensoriamento Remoto</t>
  </si>
  <si>
    <t>Simpósio Brasileiro sobre Fatores Humanos em Sistemas Computacionais - Brazilian Symposium on Human Factors in Computing Systems</t>
  </si>
  <si>
    <t>International Conference on Information, Intelligence, Systems and Applications - Conferência Internacional sobre Informação, Inteligência, Sistemas e Aplicações</t>
  </si>
  <si>
    <t>IEEE International Symposium on Workload Characterization - Simpósio Internacional IEEE sobre Caracterização de Carga de Trabalho</t>
  </si>
  <si>
    <t>International Conference on Information Integration and Web-based Applications &amp; Services - Conferência Internacional sobre Integração de Informação e Aplicações e Serviços Baseados na Web</t>
  </si>
  <si>
    <t>International Joint Conference on Artificial Intelligence - Conferência Internacional Conjunta sobre Inteligência Artificial</t>
  </si>
  <si>
    <t>International Joint Conference on Automated Reasoning - Conferência Internacional Conjunta sobre Raciocínio Automatizado</t>
  </si>
  <si>
    <t>International Joint Conference on Natural Language Processing - Conferência Internacional Conjunta sobre Processamento de Linguagem Natural</t>
  </si>
  <si>
    <t>IEEE International Joint Conference on Neural Networks - Conferência Internacional Conjunta IEEE sobre Redes Neurais</t>
  </si>
  <si>
    <t>International Conference on Inductive Logic Programming - Conferência Internacional sobre Programação Lógica Indutiva</t>
  </si>
  <si>
    <t>IFIP/IEEE International Symposium on Integrated Network Management - Simpósio Internacional IFIP/IEEE sobre Gestão Integrada de Redes</t>
  </si>
  <si>
    <t>International Symposium on Model-Based Safety and Assessment - Simpósio Internacional sobre Segurança e Avaliação Baseada em Modelos</t>
  </si>
  <si>
    <t>ACM Internet Measurement Conference - Conferência de Medição de Internet ACM</t>
  </si>
  <si>
    <t>SBMO/IEEE MTT-S International Microwave and Optoelectronics Conference - Conferência Internacional de Micro-ondas e Optoeletrônica SBMO/IEEE MTT-S</t>
  </si>
  <si>
    <t>IEEE International Conference on Industrial Informatics - Conferência Internacional IEEE sobre Informática Industrial</t>
  </si>
  <si>
    <t>International Conference on Industry Applications - Conferência Internacional sobre Aplicações Industriais</t>
  </si>
  <si>
    <t>IEEE International Conference on Computer Communications - Conferência Internacional IEEE sobre Comunicações de Computadores</t>
  </si>
  <si>
    <t>IEEE International Conference on Computer Communications Companion - Conferência Internacional IEEE sobre Comunicações de Computadores (Complementar)</t>
  </si>
  <si>
    <t>International Natural Language Generation conference - Conferência Internacional de Geração de Linguagem Natural</t>
  </si>
  <si>
    <t>International Network Optimization Conference - Conferência Internacional de Otimização de Redes</t>
  </si>
  <si>
    <t>International Symposium on Instrumentation Systems, Circuits and Transducers - Simpósio Internacional sobre Sistemas de Instrumentação, Circuitos e Transdutores</t>
  </si>
  <si>
    <t>SAI Intelligent Systems Conference - Conferência de Sistemas Inteligentes SAI</t>
  </si>
  <si>
    <t>IFIP TC 13 International Conference on Human-Computer Interaction - Conferência Internacional IFIP TC 13 sobre Interação Humano-Computador</t>
  </si>
  <si>
    <t>Conference of the International Speech Communication Association - Conferência da Associação Internacional de Comunicação por Fala</t>
  </si>
  <si>
    <t>IEEE International On-Line Testing Symposium - Simpósio Internacional IEEE de Testes On-Line</t>
  </si>
  <si>
    <t>International Conference on Internet of Things and Big Data and Security - Conferência Internacional sobre Internet das Coisas, Big Data e Segurança</t>
  </si>
  <si>
    <t>International Provenance and Annotation Workshop - Workshop Internacional de Proveniência e Anotação</t>
  </si>
  <si>
    <t>Conference on Integer Programming and Combinatorial Optimization - Conferência sobre Programação Inteira e Otimização Combinatória</t>
  </si>
  <si>
    <t>IEEE International Parallel &amp; Distributed Processing Symposium - Simpósio Internacional IEEE de Processamento Paralelo e Distribuído</t>
  </si>
  <si>
    <t>IEEE International Parallel &amp; Distributed Processing Symposium Companion - Simpósio Internacional IEEE de Processamento Paralelo e Distribuído (Complementar)</t>
  </si>
  <si>
    <t>International Symposium on Parameterized and Exact Computation - Simpósio Internacional sobre Computação Parametrizada e Exata</t>
  </si>
  <si>
    <t>International Conference on Information Processing and Management of Uncertainty - Conferência Internacional sobre Processamento de Informação e Gestão de Incerteza</t>
  </si>
  <si>
    <t>International Conference on Image Processing Theory Tools and Applications - Conferência Internacional sobre Teoria, Ferramentas e Aplicações de Processamento de Imagem</t>
  </si>
  <si>
    <t>IEEE International Conference on Robotic Computing - Conferência Internacional IEEE sobre Computação Robótica</t>
  </si>
  <si>
    <t>IEEE/RSJ International Conference on Intelligent Robots and Systems - Conferência Internacional IEEE/RSJ sobre Robôs e Sistemas Inteligentes</t>
  </si>
  <si>
    <t>International Symposium on Algorithms and Computation - Simpósio Internacional sobre Algoritmos e Computação</t>
  </si>
  <si>
    <t>International Symposium on Autonomous Decentralized Systems - Simpósio Internacional sobre Sistemas Descentralizados Autônomos</t>
  </si>
  <si>
    <t>IEEE International Symposium on Biomedical Imaging - Simpósio Internacional IEEE de Imagem Biomédica</t>
  </si>
  <si>
    <t>International Symposium on Bioinformatics Research and Applications - Simpósio Internacional sobre Pesquisa e Aplicações em Bioinformática</t>
  </si>
  <si>
    <t>International Conference on Information Security - Conferência Internacional sobre Segurança da Informação</t>
  </si>
  <si>
    <t>IEEE International Smart Cities Conference - Conferência Internacional IEEE de Cidades Inteligentes</t>
  </si>
  <si>
    <t>IEEE International Symposium on Circuits and Systems - Simpósio Internacional IEEE de Circuitos e Sistemas</t>
  </si>
  <si>
    <t>International Symposium on Computers and Communications - Simpósio Internacional sobre Computadores e Comunicações</t>
  </si>
  <si>
    <t>International Symposium on Combinatorial Optimization - Simpósio Internacional sobre Otimização Combinatória</t>
  </si>
  <si>
    <t>International Conference on Information Systems for Crisis Response and Management - Conferência Internacional sobre Sistemas de Informação para Resposta e Gestão de Crises</t>
  </si>
  <si>
    <t>Workshop Brasileiro de Engenharia de Software Inteligente - Brazilian Workshop on Intelligent Software Engineering</t>
  </si>
  <si>
    <t>IEEE PES Innovative Smart Grid Technologies - Tecnologias Inovadoras de Redes Inteligentes IEEE PES</t>
  </si>
  <si>
    <t>IEEE PES Innovative Smart Grid Technologies Conference Europe - Conferência de Tecnologias Inovadoras de Redes Inteligentes IEEE PES Europa</t>
  </si>
  <si>
    <t>IEEE PES Innovative Smart Grid Technologies Conference Latin America - Conferência de Tecnologias Inovadoras de Redes Inteligentes IEEE PES América Latina</t>
  </si>
  <si>
    <t>IEEE International Symposium on Industrial Electronics - Simpósio Internacional IEEE de Eletrônica Industrial</t>
  </si>
  <si>
    <t>International Symposium on Imprecise Probabilities: Theories and Applications - Simpósio Internacional sobre Probabilidades Imprecisas: Teorias e Aplicações</t>
  </si>
  <si>
    <t>Information Systems in Latin America - Sistemas de Informação na América Latina</t>
  </si>
  <si>
    <t>IEEE International Symposium on Multimedia - Simpósio Internacional IEEE de Multimídia</t>
  </si>
  <si>
    <t>IEEE International Symposium on Mixed and Augmented Reality - Simpósio Internacional IEEE de Realidade Mista e Aumentada</t>
  </si>
  <si>
    <t>International Society for Music Information Retrieval Conference - Conferência da Sociedade Internacional de Recuperação de Informação Musical</t>
  </si>
  <si>
    <t>International Conference on Intelligent Systems, Metaheuristics &amp; Swarm Intelligence - Conferência Internacional sobre Sistemas Inteligentes, Metaheurísticas e Inteligência de Enxame</t>
  </si>
  <si>
    <t>IEEE International Symposium on Multiple-Valued Logic - Simpósio Internacional IEEE de Lógica de Múltiplos Valores</t>
  </si>
  <si>
    <t>International Symposium on Neural Networks - Simpósio Internacional sobre Redes Neurais</t>
  </si>
  <si>
    <t>IEEE International Symposium on RealTime Distributed Computing - Simpósio Internacional IEEE de Computação Distribuída em Tempo Real</t>
  </si>
  <si>
    <t>IEEE International Symposium on Performance Analysis of Systems and Software - Simpósio Internacional IEEE de Análise de Desempenho de Sistemas e Software</t>
  </si>
  <si>
    <t>International Symposium on Parallel and Distributed Computing - Simpósio Internacional sobre Computação Paralela e Distribuída</t>
  </si>
  <si>
    <t>ISPRS Annals of the Photogrammetry, Remote Sensing and Spatial Information Sciences - Anais da ISPRS de Fotogrametria, Sensoriamento Remoto e Ciências da Informação Espacial</t>
  </si>
  <si>
    <t>International Symposium on Quality Electronic Design - Simpósio Internacional sobre Design Eletrônico de Qualidade</t>
  </si>
  <si>
    <t>International Society of Scientometrics and Informetrics Conference - Conferência da Sociedade Internacional de Cientometria e Informetria</t>
  </si>
  <si>
    <t>IEEE International Symposium on Software Reliability Engineering - Simpósio Internacional IEEE de Engenharia de Confiabilidade de Software</t>
  </si>
  <si>
    <t>IEEE International Symposium on Software Reliability Engineering Companion - Simpósio Internacional IEEE de Engenharia de Confiabilidade de Software (Complementar)</t>
  </si>
  <si>
    <t>International Symposium on Software Testing and Analysis - Simpósio Internacional sobre Testes e Análise de Software</t>
  </si>
  <si>
    <t>International iWorkshop - Workshop Internacional i</t>
  </si>
  <si>
    <t>International Symposium on Visual Computing - Simpósio Internacional sobre Computação Visual</t>
  </si>
  <si>
    <t>IEEE Computer Society Annual Symposium on VLSI - Simpósio Anual da Sociedade de Computação IEEE sobre VLSI</t>
  </si>
  <si>
    <t>International Symposium on Wireless Communication Systems - Simpósio Internacional sobre Sistemas de Comunicação Sem Fio</t>
  </si>
  <si>
    <t>International Test Conference - Conferência Internacional de Testes</t>
  </si>
  <si>
    <t>International Conference on Information Technology Based Higher Education and Training - Conferência Internacional sobre Educação e Treinamento Superior Baseado em Tecnologia da Informação</t>
  </si>
  <si>
    <t>Joint Conference on Innovation and Technology in Computer Science Education - Conferência Conjunta sobre Inovação e Tecnologia na Educação em Ciência da Computação</t>
  </si>
  <si>
    <t>International Conference on Information Technology : New Generations - Conferência Internacional sobre Tecnologia da Informação: Novas Gerações</t>
  </si>
  <si>
    <t>International Conference on Interactive Theorem Proving - Conferência Internacional sobre Prova Interativa de Teoremas</t>
  </si>
  <si>
    <t>International Conference on Augmented Intelligence and Intelligent Tutoring Systems - Conferência Internacional sobre Inteligência Aumentada e Sistemas de Tutoria Inteligente</t>
  </si>
  <si>
    <t>IEEE International Conference on Intelligent Transportation Systems - Conferência Internacional IEEE sobre Sistemas de Transporte Inteligentes</t>
  </si>
  <si>
    <t>International Conference on Intelligent User Interfaces - Conferência Internacional sobre Interfaces Inteligentes de Usuário</t>
  </si>
  <si>
    <t>International Conference on Information Visualization - Conferência Internacional sobre Visualização de Informações</t>
  </si>
  <si>
    <t>International Conference on Information Visualization Theory and Applications - Conferência Internacional sobre Teoria e Aplicações de Visualização de Informações</t>
  </si>
  <si>
    <t>IEEE Intelligent Vehicles Symposium - Simpósio IEEE de Veículos Inteligentes</t>
  </si>
  <si>
    <t>International Work-Conference on Artificial Neural Networks - Conferência de Trabalho Internacional sobre Redes Neurais Artificiais</t>
  </si>
  <si>
    <t>International Work-Conference on Bioinformatics and Biomedical Engineering - Conferência de Trabalho Internacional sobre Bioinformática e Engenharia Biomédica</t>
  </si>
  <si>
    <t>International Wireless Communications and Mobile Computing Conference - Conferência Internacional de Comunicações Sem Fio e Computação Móvel</t>
  </si>
  <si>
    <t>International Workshop on Combinatorial Algorithms - Workshop Internacional sobre Algoritmos Combinatórios</t>
  </si>
  <si>
    <t>International Workshop on Software Ecosystems - Workshop Internacional sobre Ecossistemas de Software</t>
  </si>
  <si>
    <t>International Conference on Systems, Signals and Image Processing - Conferência Internacional sobre Sistemas, Sinais e Processamento de Imagem</t>
  </si>
  <si>
    <t>Iberoamerican Conference on Applications and Usability of Interactive TV - Conferência Ibero-americana sobre Aplicações e Usabilidade de TV Interativa</t>
  </si>
  <si>
    <t>ACM/IEEE Joint Conference on Digital Libraries - Conferência Conjunta ACM/IEEE sobre Bibliotecas Digitais</t>
  </si>
  <si>
    <t>Workshop on Job Scheduling Strategies for Parallel Processing - Workshop sobre Estratégias de Agendamento de Tarefas para Processamento Paralelo</t>
  </si>
  <si>
    <t>International Conference on Legal Knowledge and Information Systems - Conferência Internacional sobre Conhecimento Jurídico e Sistemas de Informação</t>
  </si>
  <si>
    <t>ACM SIGKDD Conference on Knowledge Discovery and Data Mining - Conferência ACM SIGKDD sobre Descoberta de Conhecimento e Mineração de Dados</t>
  </si>
  <si>
    <t>Symposium on Knowledge Discovery, Mining and Learning - Simpósio sobre Descoberta de Conhecimento, Mineração e Aprendizado</t>
  </si>
  <si>
    <t>Workshop on Knowledge Engineering for Planning and Scheduling - Workshop sobre Engenharia de Conhecimento para Planejamento e Agendamento</t>
  </si>
  <si>
    <t>International Conference on Principles of Knowledge Representation and Reasoning - Conferência Internacional sobre Princípios de Representação e Raciocínio de Conhecimento</t>
  </si>
  <si>
    <t>ACM Conference on Learning @ Scale - Conferência ACM sobre Aprendizado em Escala</t>
  </si>
  <si>
    <t>Latin American Conference on Computational Intelligence - Conferência Latino-Americana sobre Inteligência Computacional</t>
  </si>
  <si>
    <t>Latin American Conference on Learning Technologies - Conferência Latino-Americana sobre Tecnologias de Aprendizagem</t>
  </si>
  <si>
    <t>Latin-American Symposium on Dependable and Secure Computing - Simpósio Latino-Americano sobre Computação Confiável e Segura</t>
  </si>
  <si>
    <t>Latin-American Algorithms, Graphs and Optimization Symposium - Simpósio Latino-Americano de Algoritmos, Grafos e Otimização</t>
  </si>
  <si>
    <t>International Learning Analytics and Knowledge Conference - Conferência Internacional sobre Análise de Aprendizado e Conhecimento</t>
  </si>
  <si>
    <t>Latin American Networking Conference - Conferência Latino-Americana de Redes</t>
  </si>
  <si>
    <t>IEEE Latin American Robotics Symposium - Simpósio Latino-Americano de Robótica IEEE</t>
  </si>
  <si>
    <t>IEEE Latin American Symposium on Circuits and Systems - Simpósio Latino-Americano de Circuitos e Sistemas IEEE</t>
  </si>
  <si>
    <t>Latin American Theoretical Informatics Symposium - Simpósio Latino-Americano de Informática Teórica</t>
  </si>
  <si>
    <t>IEEE Latin-American Conference on Communications - Conferência Latino-Americana de Comunicações IEEE</t>
  </si>
  <si>
    <t>International Conference on Cryptology and Information Security in Latin America - Conferência Internacional sobre Criptologia e Segurança da Informação na América Latina</t>
  </si>
  <si>
    <t>Congresso Latino-americano de Software Livre e Tecnologias Abertas - Latin American Congress on Free Software and Open Technologies</t>
  </si>
  <si>
    <t>IEEE Latin American Test Symposium - Simpósio Latino-Americano de Testes IEEE</t>
  </si>
  <si>
    <t>Linguistic Annotation Workshop - Workshop de Anotação Linguística</t>
  </si>
  <si>
    <t>IEEE Conference on Local Computer Networks - Conferência IEEE sobre Redes Locais de Computadores</t>
  </si>
  <si>
    <t>Workshop on Learning with Imbalanced Domains: Theory and Applications - Workshop sobre Aprendizado com Domínios Desbalanceados: Teoria e Aplicações</t>
  </si>
  <si>
    <t>International Conference on Language Resources and Evaluation - Conferência Internacional sobre Recursos e Avaliação de Linguagem</t>
  </si>
  <si>
    <t>International Workshop on Multi-Agent Based Simulation - Workshop Internacional sobre Simulação Baseada em Multiagentes</t>
  </si>
  <si>
    <t>International Symposium on the Modeling, Analysis, and Simulation of Computer and Telecommunication Systems - Simpósio Internacional sobre Modelagem, Análise e Simulação de Sistemas de Computação e Telecomunicações</t>
  </si>
  <si>
    <t>World Congress on Medical and Health Informatics - Congresso Mundial de Informática Médica e de Saúde</t>
  </si>
  <si>
    <t>IEEE International Symposium on Medical Measurements and Applications - Simpósio Internacional IEEE sobre Medições Médicas e Aplicações</t>
  </si>
  <si>
    <t>International Symposium on Memory Systems - Simpósio Internacional sobre Sistemas de Memória</t>
  </si>
  <si>
    <t>International Symposium on Mathematical Foundations of Computer Science - Simpósio Internacional sobre Fundamentos Matemáticos da Ciência da Computação</t>
  </si>
  <si>
    <t>IEEE International Conference on Multisensor Fusion and Integration for Intelligent Systems - Conferência Internacional IEEE sobre Fusão e Integração de Sensores para Sistemas Inteligentes</t>
  </si>
  <si>
    <t>Metaheuristics International Conference - Conferência Internacional de Metaheurísticas</t>
  </si>
  <si>
    <t>Mexican International Conference on Artificial Intelligence - Conferência Internacional Mexicana sobre Inteligência Artificial</t>
  </si>
  <si>
    <t>International Conference on Medical Image Computing and Computer Assisted Intervention - Conferência Internacional sobre Computação de Imagem Médica e Intervenção Assistida por Computador</t>
  </si>
  <si>
    <t>International Middleware Conference - Conferência Internacional de Middleware</t>
  </si>
  <si>
    <t>Military Communications Conference - Conferência de Comunicações Militares</t>
  </si>
  <si>
    <t>International Conference on Machine Learning and Data Mining in Pattern Recognition - Conferência Internacional sobre Aprendizado de Máquina e Mineração de Dados em Reconhecimento de Padrões</t>
  </si>
  <si>
    <t>Conference on Machine Learning and Systems - Conferência sobre Aprendizado de Máquina e Sistemas</t>
  </si>
  <si>
    <t>IEEE International Workshop on Machine Learning for Signal Processing - Workshop Internacional IEEE sobre Aprendizado de Máquina para Processamento de Sinais</t>
  </si>
  <si>
    <t>International Conference on Methods and Models in Automation and Robotics - Conferência Internacional sobre Métodos e Modelos em Automação e Robótica</t>
  </si>
  <si>
    <t>International Conference on Multimedia Modelling - Conferência Internacional sobre Modelagem Multimídia</t>
  </si>
  <si>
    <t>International Workshop on Multimedia and Signal Processing - Workshop Internacional sobre Multimídia e Processamento de Sinais</t>
  </si>
  <si>
    <t>ACM Multimedia Systems Conference - Conferência ACM sobre Sistemas Multimídia</t>
  </si>
  <si>
    <t>ACM/IEEE International Conference on Mobile Computing and Networking - Conferência Internacional ACM/IEEE sobre Computação e Redes Móveis</t>
  </si>
  <si>
    <t>EAI International Conference on Wireless Mobile Communication and Healthcare - Conferência Internacional EAI sobre Comunicação Móvel Sem Fio e Saúde</t>
  </si>
  <si>
    <t>International Conference on Mobile Software Engineering and Systems - Conferência Internacional sobre Engenharia e Sistemas de Software Móvel</t>
  </si>
  <si>
    <t>EAI International Conference on Mobile and Ubiquitous Systems: Computing, Networking and Services - Conferência Internacional EAI sobre Sistemas Móveis e Ubíquos: Computação, Redes e Serviços</t>
  </si>
  <si>
    <t>Annual International Conference on Mobile Systems, Applications, and Services - Conferência Internacional Anual sobre Sistemas, Aplicações e Serviços Móveis</t>
  </si>
  <si>
    <t>ACM International Symposium on Mobility Management and Wireless Access - Simpósio Internacional ACM sobre Gestão de Mobilidade e Acesso Sem Fio</t>
  </si>
  <si>
    <t>International Conference on Model Driven Engineering Languages and Systems - Conferência Internacional sobre Linguagens e Sistemas de Engenharia Dirigida por Modelos</t>
  </si>
  <si>
    <t>International Conference on Model-Driven Engineering and Software Development - Conferência Internacional sobre Engenharia Dirigida por Modelos e Desenvolvimento de Software</t>
  </si>
  <si>
    <t>Working Conference on Mining Software Repositories - Conferência de Trabalho sobre Mineração de Repositórios de Software</t>
  </si>
  <si>
    <t>Workshop deModelagem e Simulação de Sistemas Intensivos em Software - Workshop on Modeling and Simulation of Software-Intensive Systems</t>
  </si>
  <si>
    <t>ACM International Conference on Modeling, Analysis and Simulation of Wireless and Mobile Systems - Conferência Internacional ACM sobre Modelagem, Análise e Simulação de Sistemas Sem Fio e Móveis</t>
  </si>
  <si>
    <t>International Conference on Metadata and Semantics Research - Conferência Internacional sobre Pesquisa em Metadados e Semântica</t>
  </si>
  <si>
    <t>International Midwest Symposium on Circuits and Systems - Simpósio Internacional do Meio-Oeste sobre Circuitos e Sistemas</t>
  </si>
  <si>
    <t>North American Chapter of the Association for Computational Linguistics Annual Meeting - Reunião Anual do Capítulo Norte-Americano da Associação de Linguística Computacional</t>
  </si>
  <si>
    <t>IEEE International Symposium on Network Computing and Applications - Simpósio Internacional IEEE sobre Computação em Rede e Aplicações</t>
  </si>
  <si>
    <t>IEEE Conference on Network Softwarization - Conferência IEEE sobre Softwarização de Redes</t>
  </si>
  <si>
    <t>International Conference on Networked Systems - Conferência Internacional sobre Sistemas em Rede</t>
  </si>
  <si>
    <t>IFIP Networking Conference - Conferência de Redes IFIP</t>
  </si>
  <si>
    <t>Neural Information Processing Systems - Sistemas de Processamento de Informação Neural</t>
  </si>
  <si>
    <t>IEEE International New Circuits and Systems Conference - Conferência Internacional IEEE sobre Novos Circuitos e Sistemas</t>
  </si>
  <si>
    <t>IEEE Conference on Network Function Virtualization and Software Defined Networks - Conferência IEEE sobre Virtualização de Funções de Rede e Redes Definidas por Software</t>
  </si>
  <si>
    <t>International Conference on New Interfaces for Musical Expression - Conferência Internacional sobre Novas Interfaces para Expressão Musical</t>
  </si>
  <si>
    <t>International Conference on Application of Natural Language to Information Systems - Conferência Internacional sobre Aplicação de Linguagem Natural a Sistemas de Informação</t>
  </si>
  <si>
    <t>International Conference on Network of the Future - Conferência Internacional sobre Rede do Futuro</t>
  </si>
  <si>
    <t>IEEE/IFIP Network Operations and Management Symposium - Simpósio IEEE/IFIP de Operações e Gestão de Redes</t>
  </si>
  <si>
    <t>Nordic Conference on Human-Computer Interaction - Conferência Nórdica sobre Interação Humano-Computador</t>
  </si>
  <si>
    <t>IFIP International Conference on New Technologies, Mobility and Security - Conferência Internacional IFIP sobre Novas Tecnologias, Mobilidade e Segurança</t>
  </si>
  <si>
    <t>IEEE Oceans Conference - Conferência IEEE Oceans</t>
  </si>
  <si>
    <t>International Workshop on Ontology Matching - Workshop Internacional sobre Correspondência de Ontologias</t>
  </si>
  <si>
    <t>Conference on Optical Network Design and Modeling - Conferência sobre Design e Modelagem de Redes Ópticas</t>
  </si>
  <si>
    <t>Seminar on Ontology Research in Brazil - Seminário de Pesquisa em Ontologia no Brasil</t>
  </si>
  <si>
    <t>Conference on Object-Oriented Programming Systems, Languages, and Applications - Conferência sobre Sistemas, Linguagens e Aplicações de Programação Orientada a Objetos</t>
  </si>
  <si>
    <t>Workshop de Práticas de Ciência Aberta Para Engenharia de Software - Workshop on Open Science Practices for Software Engineering</t>
  </si>
  <si>
    <t>International Symposium on Open Collaboration - Simpósio Internacional sobre Colaboração Aberta</t>
  </si>
  <si>
    <t>International Conference on Open Source Systems - Conferência Internacional sobre Sistemas de Código Aberto</t>
  </si>
  <si>
    <t>Australian Conference on Human-Computer Interaction - Conferência Australiana sobre Interação Humano-Computador</t>
  </si>
  <si>
    <t>International Conference on Practical Applications of Agents, Multi-Agent Systems and Sustainability - Conferência Internacional sobre Aplicações Práticas de Agentes, Sistemas Multiagentes e Sustentabilidade</t>
  </si>
  <si>
    <t>International Conference on Practical Applications of Computational Biology &amp; Bioinformatics - Conferência Internacional sobre Aplicações Práticas de Biologia Computacional e Bioinformática</t>
  </si>
  <si>
    <t>Pacific Asia Conference on Information Systems - Conferência da Ásia-Pacífico sobre Sistemas de Informação</t>
  </si>
  <si>
    <t>International Conference on Parallel Architectures and Compilation Techniques - Conferência Internacional sobre Arquiteturas Paralelas e Técnicas de Compilação</t>
  </si>
  <si>
    <t>Pacific-Asia Conference on Knowledge Discovery and Data Mining - Conferência da Ásia-Pacífico sobre Descoberta de Conhecimento e Mineração de Dados</t>
  </si>
  <si>
    <t>Passive and Active Network Measurement Conference - Conferência sobre Medição de Rede Passiva e Ativa</t>
  </si>
  <si>
    <t>Picture Coding Symposium - Simpósio de Codificação de Imagem</t>
  </si>
  <si>
    <t>Euromicro International Conference on Parallel, Distributed and Network-Based Processing - Conferência Internacional Euromicro sobre Processamento Paralelo, Distribuído e Baseado em Rede</t>
  </si>
  <si>
    <t>ACM International Symposium on Performance Evaluation of Wireless Ad Hoc, Sensor, and Ubiquitous Networks - Simpósio Internacional ACM sobre Avaliação de Desempenho de Redes Sem Fio Ad Hoc, Sensores e Ubíquas</t>
  </si>
  <si>
    <t>International Conference on Pervasive Computing and Communications Companion - Conferência Internacional sobre Computação e Comunicações Pervasivas (Complementar)</t>
  </si>
  <si>
    <t>International Conference on Pervasive Computing Technologies for Healthcare - Conferência Internacional sobre Tecnologias de Computação Pervasiva para Saúde</t>
  </si>
  <si>
    <t>ACM International Conference on PErvasive Technologies Related to Assistive Environments - Conferência Internacional ACM sobre Tecnologias Pervasivas Relacionadas a Ambientes Assistivos</t>
  </si>
  <si>
    <t>International Symposium on Personal, Indoor and Mobile Radio Communications - Simpósio Internacional sobre Comunicações Pessoais, Internas e Rádio Móvel</t>
  </si>
  <si>
    <t>International Conference on Practice and Theory in Public Key Cryptography - Conferência Internacional sobre Prática e Teoria em Criptografia de Chave Pública</t>
  </si>
  <si>
    <t>Conference on Pattern Languages of Programs - Conferência sobre Linguagens de Padrões de Programas</t>
  </si>
  <si>
    <t>ACM Symposium on Principles of Distributed Computing - Simpósio ACM sobre Princípios de Computação Distribuída</t>
  </si>
  <si>
    <t>IFIP WG 8.1 Working Conference on the Practice of Enterprise Modelling - Conferência de Trabalho IFIP WG 8.1 sobre a Prática de Modelagem Empresarial</t>
  </si>
  <si>
    <t>International Conference on Parallel Processing and Applied Mathematics - Conferência Internacional sobre Processamento Paralelo e Matemática Aplicada</t>
  </si>
  <si>
    <t>International Conference on Parallel Problem Solving from Nature - Conferência Internacional sobre Resolução de Problemas Paralelos a partir da Natureza</t>
  </si>
  <si>
    <t>Pacific Rim International Symposium on Dependable Computing - Simpósio Internacional da Bacia do Pacífico sobre Computação Confiável</t>
  </si>
  <si>
    <t>nternational Conference on Principles and Practice of Multi-Agent Systems - Conferência Internacional sobre Princípios e Prática de Sistemas Multiagentes</t>
  </si>
  <si>
    <t>International Conference on Product-Focused Software Process Improvement - Conferência Internacional sobre Melhoria de Processo de Software Focada em Produto</t>
  </si>
  <si>
    <t>International Conference on Predictive Models and Data Analytics in Software Engineering - Conferência Internacional sobre Modelos Preditivos e Análise de Dados em Engenharia de Software</t>
  </si>
  <si>
    <t>International Conference on Computational Processing of the Portuguese Language - Conferência Internacional sobre Processamento Computacional da Língua Portuguesa</t>
  </si>
  <si>
    <t>International Conference on Privacy, Security and Trust - Conferência Internacional sobre Privacidade, Segurança e Confiança</t>
  </si>
  <si>
    <t>International Workshop on Quality of Multimedia Experience - Workshop Internacional sobre Qualidade da Experiência Multimídia</t>
  </si>
  <si>
    <t>IEEE International Conference on Software Quality, Reliability, and Security - Conferência Internacional IEEE sobre Qualidade, Confiabilidade e Segurança de Software</t>
  </si>
  <si>
    <t>International Conference on Quality of Information and Communications Technology - Conferência Internacional sobre Qualidade de Tecnologia da Informação e Comunicação</t>
  </si>
  <si>
    <t>International Conference on Recent Advances in Natural Language Processing - Conferência Internacional sobre Avanços Recentes no Processamento de Linguagem Natural</t>
  </si>
  <si>
    <t>International Conference on Research Challenges in Information Science - Conferência Internacional sobre Desafios de Pesquisa em Ciência da Informação</t>
  </si>
  <si>
    <t>IEEE International Requirements Engineering Conference - Conferência Internacional IEEE de Engenharia de Requisitos</t>
  </si>
  <si>
    <t>ACM Conference on Recommender Systems - Conferência ACM sobre Sistemas de Recomendação</t>
  </si>
  <si>
    <t>International Working Conference on Requirements Engineering: Foundations for Software Quality - Conferência Internacional de Trabalho sobre Engenharia de Requisitos: Fundamentos para Qualidade de Software</t>
  </si>
  <si>
    <t>IEEE International Symposium on Robot and Human Interactive Communication - Simpósio Internacional IEEE de Comunicação Interativa entre Robôs e Humanos</t>
  </si>
  <si>
    <t>Robocup International Symposium - Simpósio Internacional Robocup</t>
  </si>
  <si>
    <t>Iberian Robotics Conference - Conferência Ibérica de Robótica</t>
  </si>
  <si>
    <t>IEEE REAL-TIME AND EMBEDDED TECHNOLOGY AND APPLICATIONS SYMPOSIUM - Simpósio IEEE de Tecnologia e Aplicações em Tempo Real e Embarcadas</t>
  </si>
  <si>
    <t>Real-Time Systems Symposium - Simpósio de Sistemas de Tempo Real</t>
  </si>
  <si>
    <t>International Joint Conference on Rules and Reasoning - Conferência Internacional Conjunta sobre Regras e Raciocínio</t>
  </si>
  <si>
    <t>ACM Symposium on Applied Computing - Simpósio ACM sobre Computação Aplicada</t>
  </si>
  <si>
    <t>IEEE International Symposium on Applied Computational Intelligence and Informatics - Simpósio Internacional IEEE de Inteligência Computacional Aplicada e Informática</t>
  </si>
  <si>
    <t>International Conference on Embedded Computer Systems: Architectures, Modeling and Simulation - Conferência Internacional sobre Sistemas de Computação Embarcados: Arquiteturas, Modelagem e Simulação</t>
  </si>
  <si>
    <t>IEEE International Conference on Software Analysis, Evolution and Reengineering - Conferência Internacional IEEE sobre Análise, Evolução e Reengenharia de Software</t>
  </si>
  <si>
    <t>IEEE Sensors Applications Symposium - Simpósio de Aplicações de Sensores IEEE</t>
  </si>
  <si>
    <t>Brazilian Symposium on Systematic and Automated Software Testing - Simpósio Brasileiro de Testes de Software Sistemáticos e Automatizados</t>
  </si>
  <si>
    <t>International Symposium on Computer Architecture and High Performance Computing - Simpósio Internacional sobre Arquitetura de Computadores e Computação de Alto Desempenho</t>
  </si>
  <si>
    <t>Simpósio Brasileiro de Automação Inteligente - Brazilian Symposium on Intelligent Automation</t>
  </si>
  <si>
    <t>Simpósio Brasileiro de Banco de Dados - Brazilian Symposium on Databases</t>
  </si>
  <si>
    <t>Brazilian Symposium on Components, Architectures and Reuse Software - Simpósio Brasileiro de Componentes, Arquiteturas e Reuso de Software</t>
  </si>
  <si>
    <t>Simpósio Brasileiro de Computação Aplicada à Saúde - Brazilian Symposium on Computing Applied to Health</t>
  </si>
  <si>
    <t>Symposium on Integrated Circuits and Systems Design - Simpósio sobre Design de Circuitos e Sistemas Integrados</t>
  </si>
  <si>
    <t>Simpósio Brasileiro de Computação Musical - Brazilian Symposium on Computer Music</t>
  </si>
  <si>
    <t>Simpósio Brasileiro de Computação Ubíqua e Pervasiva - Brazilian Symposium on Ubiquitous and Pervasive Computing</t>
  </si>
  <si>
    <t>Brazilian Symposium on Software Engineering - Simpósio Brasileiro de Engenharia de Software</t>
  </si>
  <si>
    <t>Symposium on Computing Systems Engineering - Simpósio sobre Engenharia de Sistemas Computacionais</t>
  </si>
  <si>
    <t>Simpósio Brasileiro de Jogos e Entretenimento Digital - Brazilian Symposium on Games and Digital Entertainment</t>
  </si>
  <si>
    <t>Simpósio Brasileiro de Jogos e Entretenimento Digital Companion - Simpósio Brasileiro de Jogos e Entretenimento Digital (Complementar)</t>
  </si>
  <si>
    <t>Congresso Brasileiro de Agroinformática - Brazilian Congress on Agroinformatics</t>
  </si>
  <si>
    <t>Simpósio Brasileiro de Informática na Educação - Brazilian Symposium on Informatics in Education</t>
  </si>
  <si>
    <t>Brazilian Symposium on Programming Languages - Simpósio Brasileiro de Linguagens de Programação</t>
  </si>
  <si>
    <t>Brazilian Symposium on Formal Methods - Simpósio Brasileiro de Métodos Formais</t>
  </si>
  <si>
    <t>Symposium on Microelectronics Technology and Devices - Simpósio sobre Tecnologia e Dispositivos de Microeletrônica</t>
  </si>
  <si>
    <t>Simpósio Brasileiro de Pesquisa Operacional - Brazilian Symposium on Operations Research</t>
  </si>
  <si>
    <t>Simpósio Brasileiro de Qualidade de Software - Brazilian Symposium on Software Quality</t>
  </si>
  <si>
    <t>Simpósio Brasileiro de Redes de Computadores e Sistemas Distribuídos - Brazilian Symposium on Computer Networks and Distributed Systems</t>
  </si>
  <si>
    <t>Simpósio Brasileiro de Telecomunicações e Processamento de Sinais - Brazilian Symposium on Telecommunications and Signal Processing</t>
  </si>
  <si>
    <t>Simpósio Brasileiro de Sistemas Colaborativos - Brazilian Symposium on Collaborative Systems</t>
  </si>
  <si>
    <t>Simpósio Brasileiro de Sistemas Elétricos - Brazilian Symposium on Electric Systems</t>
  </si>
  <si>
    <t>Simpósio Brasileiro de Segurança da Informação e de Sistemas Computacionais - Brazilian Symposium on Information and Computer Systems Security</t>
  </si>
  <si>
    <t>Simpósio Brasileiro de Sistemas de Informação - Brazilian Symposium on Information Systems</t>
  </si>
  <si>
    <t>Simpósio Brasileiro de Sistemas de Informação Companion - Brazilian Symposium on Information Systems (Complementar)</t>
  </si>
  <si>
    <t>Simpósio Brasileiro de Sensoriamento Remoto - Brazilian Symposium on Remote Sensing</t>
  </si>
  <si>
    <t>International Conference for High Performance Computing, Networking, Storage and Analysis - Conferência Internacional de Computação de Alto Desempenho, Redes, Armazenamento e Análise</t>
  </si>
  <si>
    <t>IEEE International Working Conference on Source Code Analysis and Manipulation - Conferência Internacional de Trabalho IEEE sobre Análise e Manipulação de Código Fonte</t>
  </si>
  <si>
    <t>International Conference of the Chilean Computer Science Society - Conferência Internacional da Sociedade Chilena de Ciência da Computação</t>
  </si>
  <si>
    <t>Symposium on Combinatorial Search - Simpósio sobre Busca Combinatória</t>
  </si>
  <si>
    <t>SIAM International Conference on Data Mining - Conferência Internacional SIAM sobre Mineração de Dados</t>
  </si>
  <si>
    <t>International Conference on Software Defined Systems - Conferência Internacional sobre Sistemas Definidos por Software</t>
  </si>
  <si>
    <t>Spatial Data Science Symposium - Simpósio de Ciência de Dados Espaciais</t>
  </si>
  <si>
    <t>International Symposium on Experimental Algorithms - Simpósio Internacional sobre Algoritmos Experimentais</t>
  </si>
  <si>
    <t>Euromicro Conference on Software Engineering and Advanced Applications - Conferência Euromicro sobre Engenharia de Software e Aplicações Avançadas</t>
  </si>
  <si>
    <t>International Symposium on Software Engineering for Adaptive and Self-Managing Systems - Simpósio Internacional sobre Engenharia de Software para Sistemas Adaptativos e Auto-Gerenciáveis</t>
  </si>
  <si>
    <t>International Conference on Security and Cryptography - Conferência Internacional sobre Segurança e Criptografia</t>
  </si>
  <si>
    <t>International Conference on Software Engineering and Formal Methods - Conferência Internacional sobre Engenharia de Software e Métodos Formais</t>
  </si>
  <si>
    <t>International Conference on Serious Games and Applications for Health - Conferência Internacional sobre Jogos Sérios e Aplicações para a Saúde</t>
  </si>
  <si>
    <t>International Workshop on Software Engineering in Healthcare - Workshop Internacional sobre Engenharia de Software na Saúde</t>
  </si>
  <si>
    <t>International Conference on Software Engineering and Knowledge Engineering - Conferência Internacional sobre Engenharia de Software e Engenharia de Conhecimento</t>
  </si>
  <si>
    <t>International Workshop on Semantic Evaluation - Workshop Internacional sobre Avaliação Semântica</t>
  </si>
  <si>
    <t>Seminário Integrado de Software e Hardware - Integrated Seminar on Software and Hardware</t>
  </si>
  <si>
    <t>CONFERENCE OF THE SPANISH SOCIETY FOR NATURAL LANGUAGE PROCESSING - Conferência da Sociedade Espanhola de Processamento de Linguagem Natural</t>
  </si>
  <si>
    <t>IEEE/ACM International Workshop on Software Engineering Research and Industrial Practice - Workshop Internacional IEEE/ACM sobre Pesquisa em Engenharia de Software e Prática Industrial</t>
  </si>
  <si>
    <t>International Workshop on Software Engineering Research &amp; Practices for the Internet of Things - Workshop Internacional sobre Pesquisa e Práticas de Engenharia de Software para a Internet das Coisas</t>
  </si>
  <si>
    <t>International Workshop on Software Engineering for Systems-of-Systems and Software Ecosystems - Workshop Internacional sobre Engenharia de Software para Sistemas de Sistemas e Ecossistemas de Software</t>
  </si>
  <si>
    <t>Conference on Graphics, Patterns and Images - Conferência sobre Gráficos, Padrões e Imagens</t>
  </si>
  <si>
    <t>ACM Technical Symposium on Computer Science Education - Simpósio Técnico ACM sobre Educação em Ciência da Computação</t>
  </si>
  <si>
    <t>ACM International Conference on Design of Communication - Conferência Internacional ACM sobre Design de Comunicação</t>
  </si>
  <si>
    <t>International Conference and Exibition on Computer Graphics and Interactive Techniques - Conferência e Exposição Internacional sobre Computação Gráfica e Técnicas Interativas</t>
  </si>
  <si>
    <t>ACM International Conference on Computer Graphics &amp; Interactive Techniques / Asia - Conferência Internacional ACM sobre Computação Gráfica e Técnicas Interativas / Ásia</t>
  </si>
  <si>
    <t>International ACM SIGIR Conference on Research and Development in Information Retrieval - Conferência Internacional ACM SIGIR sobre Pesquisa e Desenvolvimento em Recuperação de Informação</t>
  </si>
  <si>
    <t>International Conference on Measurement and Modeling of Computer Systems - Conferência Internacional sobre Medição e Modelagem de Sistemas Computacionais</t>
  </si>
  <si>
    <t>ACM SIGSPATIAL International Conference on Advances in Geographic Information Systems - Conferência Internacional ACM SIGSPATIAL sobre Avanços em Sistemas de Informação Geográfica</t>
  </si>
  <si>
    <t>Simpósio Internacional de Informática Educatica - International Symposium on Educational Informatics</t>
  </si>
  <si>
    <t>Annual International Symposium on Information Management and Big Data - Simpósio Internacional Anual sobre Gestão da Informação e Big Data</t>
  </si>
  <si>
    <t>International Conference on Simulation and Modeling Methodologies, Technologies and Applications - Conferência Internacional sobre Metodologias, Tecnologias e Aplicações de Simulação e Modelagem</t>
  </si>
  <si>
    <t>EAI International Conference on Simulation Tools and Techniques - Conferência Internacional EAI sobre Ferramentas e Técnicas de Simulação</t>
  </si>
  <si>
    <t>International Symposium on Medical Information Processing and Analysis - Simpósio Internacional sobre Processamento e Análise de Informações Médicas</t>
  </si>
  <si>
    <t>International Conference on Similarity Search and Applications - Conferência Internacional sobre Busca por Similaridade e Aplicações</t>
  </si>
  <si>
    <t>Symposium on Languages, Applications and Technologies - Simpósio sobre Linguagens, Aplicações e Tecnologias</t>
  </si>
  <si>
    <t>International Conference on Smart Computing - Conferência Internacional sobre Computação Inteligente</t>
  </si>
  <si>
    <t>IEEE International Conference on Smart Grid Communications - Conferência Internacional IEEE sobre Comunicações de Redes Inteligentes</t>
  </si>
  <si>
    <t>IEEE International Conference on Systems, Man and Cybernetics - Conferência Internacional IEEE sobre Sistemas, Homem e Cibernética</t>
  </si>
  <si>
    <t>International Conference on Social Informatics - Conferência Internacional sobre Informática Social</t>
  </si>
  <si>
    <t>ACM-SIAM Symposium on Discrete Algorithms - Simpósio ACM-SIAM sobre Algoritmos Discretos</t>
  </si>
  <si>
    <t>International Conference on Current Trends in Theory and Practice of Computer Science - Conferência Internacional sobre Tendências Atuais na Teoria e Prática da Ciência da Computação</t>
  </si>
  <si>
    <t>International Conference on Software, Telecommunications and Computer Networks - Conferência Internacional sobre Software, Telecomunicações e Redes de Computadores</t>
  </si>
  <si>
    <t>Siam Symposium on Simplicity in Algorithms - Simpósio SIAM sobre Simplicidade em Algoritmos</t>
  </si>
  <si>
    <t>IEEE Annual System of Systems Engineering Conference - Conferência Anual IEEE de Engenharia de Sistemas de Sistemas</t>
  </si>
  <si>
    <t>Symposium on Software Defined Networking Research - Simpósio sobre Pesquisa em Redes Definidas por Software</t>
  </si>
  <si>
    <t>ACM SIGSPATIAL International Workshop on Spatial Gems - Workshop Internacional ACM SIGSPATIAL sobre Joias Espaciais</t>
  </si>
  <si>
    <t>Proceedings of SPIE--The International Society for Optical Engineering - Anais da SPIE--A Sociedade Internacional de Engenharia Óptica</t>
  </si>
  <si>
    <t>Medical Imaging: Image Processing - Imagem Médica: Processamento de Imagem</t>
  </si>
  <si>
    <t>International Symposium on String Processing and Information Retrieval - Simpósio Internacional sobre Processamento de Strings e Recuperação de Informação</t>
  </si>
  <si>
    <t>International Software Product Line Conference - Conferência Internacional de Linha de Produtos de Software</t>
  </si>
  <si>
    <t>International Conference on Smart and Sustainable Technologies - Conferência Internacional sobre Tecnologias Inteligentes e Sustentáveis</t>
  </si>
  <si>
    <t>IEEE Symposium on Reliable Distributed Systems - Simpósio IEEE sobre Sistemas Distribuídos Confiáveis</t>
  </si>
  <si>
    <t>Simpósio em Sistemas Computacionais de Alto Desempenho - Symposium on High Performance Computer Systems</t>
  </si>
  <si>
    <t>IEEE Symposium Series on Computational Intelligence - Série de Simpósios IEEE sobre Inteligência Computacional</t>
  </si>
  <si>
    <t>International Conference on Scientific and Statistical Database Management - Conferência Internacional sobre Gestão de Bancos de Dados Científicos e Estatísticos</t>
  </si>
  <si>
    <t>IEEE International Conference on Software Services Engineering - Conferência Internacional IEEE sobre Engenharia de Serviços de Software</t>
  </si>
  <si>
    <t>Southwest Symposium on Image Analysis and Interpretation - Simpósio Sudoeste sobre Análise e Interpretação de Imagem</t>
  </si>
  <si>
    <t>Brazilian Symposium in Information and Human Language Technology - Simpósio Brasileiro de Tecnologia da Informação e Linguagem Humana</t>
  </si>
  <si>
    <t>ACM Symposium on Theory of Computing - Simpósio ACM sobre Teoria da Computação</t>
  </si>
  <si>
    <t>Symposium on Virtual and Augmented Reality - Simpósio sobre Realidade Virtual e Aumentada</t>
  </si>
  <si>
    <t>Conference Software Quality Days - Conferência de Dias de Qualidade de Software</t>
  </si>
  <si>
    <t>IEEE International Systems Conference - Conferência Internacional IEEE de Sistemas</t>
  </si>
  <si>
    <t>International Conference on Automated Reasoning with Analytic Tableaux and Related Methods - Conferência Internacional sobre Raciocínio Automatizado com Tableaux Analíticos e Métodos Relacionados</t>
  </si>
  <si>
    <t>International Conference on Tools and Algorithms for the Construction and Analysis of Systems - Conferência Internacional sobre Ferramentas e Algoritmos para a Construção e Análise de Sistemas</t>
  </si>
  <si>
    <t>Theoretical Aspects of Software Engineering - Aspectos Teóricos da Engenharia de Software</t>
  </si>
  <si>
    <t>International Conference on Technical Debt - Conferência Internacional sobre Dívida Técnica</t>
  </si>
  <si>
    <t>Technological Ecosystems for Enhancing Multiculturality - Ecossistemas Tecnológicos para Melhorar a Multiculturalidade</t>
  </si>
  <si>
    <t>Congreso Internacional de Informática Educativa - International Congress on Educational Informatics</t>
  </si>
  <si>
    <t>The Network Traffic Measurement and Analysis Conference - Conferência de Medição e Análise de Tráfego de Rede</t>
  </si>
  <si>
    <t>International Workshop on Trust in Agent societies - Workshop Internacional sobre Confiança em Sociedades de Agentes</t>
  </si>
  <si>
    <t>International Conference on Trust, Security and Privacy in Computing and Communications - Conferência Internacional sobre Confiança, Segurança e Privacidade em Computação e Comunicações</t>
  </si>
  <si>
    <t>International Conference on Text, Speech and Dialogue - Conferência Internacional sobre Texto, Fala e Diálogo</t>
  </si>
  <si>
    <t>Workshop de Música Ubíqua - Workshop on Ubiquitous Music</t>
  </si>
  <si>
    <t>IEEE/ACM International Conference on Utility and Cloud Computing - Conferência Internacional IEEE/ACM sobre Computação em Nuvem e Utilidade</t>
  </si>
  <si>
    <t>ACM Conference on User Modeling, Adaptation and Personalization - Conferência ACM sobre Modelagem de Usuário, Adaptação e Personalização</t>
  </si>
  <si>
    <t>International Workshop on Unification - Workshop Internacional sobre Unificação</t>
  </si>
  <si>
    <t>Congresso Internacional de Ergonomia e Usabilidade de Interfaces Humano Computador - International Congress on Ergonomics and Usability of Human-Computer Interfaces</t>
  </si>
  <si>
    <t>International Workshop on Variability Modelling of Software-intensive Systems - Workshop Internacional sobre Modelagem de Variabilidade de Sistemas Intensivos em Software</t>
  </si>
  <si>
    <t>IEEE International Conference on Visual Communications and Image Processing - Conferência Internacional IEEE sobre Comunicações Visuais e Processamento de Imagens</t>
  </si>
  <si>
    <t>Workshop on Software Visualization, Evolution and Maintenance - Workshop sobre Visualização, Evolução e Manutenção de Software</t>
  </si>
  <si>
    <t>Conference on Videogame Sciences and Arts - Conferência sobre Ciências e Artes de Videogames</t>
  </si>
  <si>
    <t>International Conference on Computer Vision Theory and Applications - Conferência Internacional sobre Teoria e Aplicações de Visão Computacional</t>
  </si>
  <si>
    <t>Conference on Computer Vision, Imaging and Computer Graphics Theory and Applications - Conferência sobre Visão Computacional, Imagem e Teoria e Aplicações de Computação Gráfica</t>
  </si>
  <si>
    <t>IEEE Working Conference on Software Visualization - Conferência de Trabalho IEEE sobre Visualização de Software</t>
  </si>
  <si>
    <t>IEEE Symposium on Visual Languages and Human-Centric Computing - Simpósio IEEE sobre Linguagens Visuais e Computação Centrada no Humano</t>
  </si>
  <si>
    <t>IEEE/IFIP International Conference on VLSI and System-on-Chip - Conferência Internacional IEEE/IFIP sobre VLSI e Sistema em um Chip</t>
  </si>
  <si>
    <t>IEEE Vehicular Networking Conference - Conferência IEEE de Redes Veiculares</t>
  </si>
  <si>
    <t>IEEE Conference Virtual Reality and 3D User Interfaces - Conferência IEEE sobre Realidade Virtual e Interfaces de Usuário 3D</t>
  </si>
  <si>
    <t>ACM Symposium on Virtual Reality Software and Technology - Simpósio ACM sobre Software e Tecnologia de Realidade Virtual</t>
  </si>
  <si>
    <t>Vehicular Technology Conference - Conferência de Tecnologia Veicular</t>
  </si>
  <si>
    <t>IEEE VLSI Test Symposium - Simpósio de Testes VLSI IEEE</t>
  </si>
  <si>
    <t>Conference on Web Accessibility - Conferência sobre Acessibilidade Web</t>
  </si>
  <si>
    <t>Workshop on Algorithms in Bioinformatics - Workshop sobre Algoritmos em Bioinformática</t>
  </si>
  <si>
    <t>Web Audio Conference - Conferência de Áudio Web</t>
  </si>
  <si>
    <t>Workshop on Applications of Computer Vision - Workshop sobre Aplicações de Visão Computacional</t>
  </si>
  <si>
    <t>Workshop sobre Aspectos da Interação Humano-Computador para a Web Social - Workshop on Aspects of Human-Computer Interaction for the Social Web</t>
  </si>
  <si>
    <t>International Workshop on Algorithms and Computation - Workshop Internacional sobre Algoritmos e Computação</t>
  </si>
  <si>
    <t>Workshop on Approximation and Online Algorithms - Workshop sobre Algoritmos de Aproximação e Online</t>
  </si>
  <si>
    <t>Workshop sobre Aspectos Sociais, Humanos e Econômicos de Software - Workshop on Social, Human and Economic Aspects of Software</t>
  </si>
  <si>
    <t>Workshop on Computational Approaches to Subjectivity, Sentiment and Social Media Analysis - Workshop sobre Abordagens Computacionais para Subjetividade, Sentimento e Análise de Mídia Social</t>
  </si>
  <si>
    <t>Workshop on Advanced Virtual Environments and Education - Workshop sobre Ambientes Virtuais Avançados e Educação</t>
  </si>
  <si>
    <t>Workshop Brasileiro de Cidades Inteligentes - Brazilian Workshop on Smart Cities</t>
  </si>
  <si>
    <t>Workshop Brasileiro de Lógica - Brazilian Workshop on Logic</t>
  </si>
  <si>
    <t>Workshop em Blockchain: Teoria, Tecnologias e Aplicações - Workshop on Blockchain: Theory, Technologies and Applications</t>
  </si>
  <si>
    <t>Workshop Brasileiro de Métodos Ágeis - Brazilian Workshop on Agile Methods</t>
  </si>
  <si>
    <t>Workshop de Computação Aplicada à Gestão do Meio Ambiente e Recursos Naturais - Workshop on Computing Applied to Environmental and Natural Resource Management</t>
  </si>
  <si>
    <t>Workshop on Circuits and Systems Design - Workshop sobre Design de Circuitos e Sistemas</t>
  </si>
  <si>
    <t>Workshop de Computação Aplicada ao Governo Eletrônico - Workshop on Computing Applied to E-Government</t>
  </si>
  <si>
    <t>IEEE Wireless Communications and Networking Conference - Conferência IEEE de Comunicações e Redes Sem Fio</t>
  </si>
  <si>
    <t>Workshop on Communication Networks and Power Systems - Workshop sobre Redes de Comunicação e Sistemas de Energia</t>
  </si>
  <si>
    <t>Wireless Days Conference - Conferência Wireless Days</t>
  </si>
  <si>
    <t>International Conference on 3D Web Technology - Conferência Internacional sobre Tecnologia Web 3D</t>
  </si>
  <si>
    <t>International Web for All Conference - Conferência Internacional Web for All</t>
  </si>
  <si>
    <t>International Conference on Web Information Systems and Technologies - Conferência Internacional sobre Sistemas e Tecnologias de Informação Web</t>
  </si>
  <si>
    <t>Brazilian Symposium on Multimedia and the Web - Simpósio Brasileiro de Multimídia e Web</t>
  </si>
  <si>
    <t>ACM Web Science Conference - Conferência ACM sobre Web Science</t>
  </si>
  <si>
    <t>Workshop sobre Educação em Computação - Workshop on Computing Education</t>
  </si>
  <si>
    <t>Workshop sobre Educação em IHC - Workshop on Education in HCI</t>
  </si>
  <si>
    <t>Workshop on Requirements Engineering - Workshop sobre Engenharia de Requisitos</t>
  </si>
  <si>
    <t>IEEE International Conference on Enabling Technologies: Infrastructure for Collaborative Enterprises - Conferência Internacional IEEE sobre Tecnologias Habilitadoras: Infraestrutura para Empresas Colaborativas</t>
  </si>
  <si>
    <t>IEEE World Forum on Internet of Things - Fórum Mundial IEEE sobre Internet das Coisas</t>
  </si>
  <si>
    <t>IEEE World Conference on Factory Communication Systems - Conferência Mundial IEEE sobre Sistemas de Comunicação de Fábrica</t>
  </si>
  <si>
    <t>Workshop do testbed FIBRE - FIBRE testbed Workshop</t>
  </si>
  <si>
    <t>International Workshop on Graph-Theoretic Concepts in Computer Science - Workshop Internacional sobre Conceitos de Teoria de Grafos em Ciência da Computação</t>
  </si>
  <si>
    <t>Workshop de Gerência e Operação de Redes e Serviços - Workshop on Management and Operation of Networks and Services</t>
  </si>
  <si>
    <t>IEEE/WIC/ACM International Conference on Web Intelligence and Intelligent Agent Technology - Conferência Internacional IEEE/WIC/ACM sobre Inteligência Web e Tecnologia de Agentes Inteligentes</t>
  </si>
  <si>
    <t>Workshop sobre as Implicações da Computação na Sociedade - Workshop on the Implications of Computing in Society</t>
  </si>
  <si>
    <t>Workshop de informação, dados e tecnologia - Workshop on information, data and technology</t>
  </si>
  <si>
    <t>Workshop on Interactions with Human Experiences - Workshop sobre Interações com Experiências Humanas</t>
  </si>
  <si>
    <t>Workshop de Informática na Escola - Workshop on Informatics in Education</t>
  </si>
  <si>
    <t>IEEE Workshop on Information Forensics and Security - Workshop IEEE sobre Forense e Segurança da Informação</t>
  </si>
  <si>
    <t>IEEE International Conference on Wireless and Mobile Computing, Networking and Communications - Conferência Internacional IEEE sobre Computação, Redes e Comunicações Sem Fio e Móveis</t>
  </si>
  <si>
    <t>Workshop sobre Interação e Pesquisa de Usuários no Desenvolvimento de Jogos - Workshop on Interaction and User Research in Game Development</t>
  </si>
  <si>
    <t>International Conference on Web Information Systems Engineering - Conferência Internacional sobre Engenharia de Sistemas de Informação Web</t>
  </si>
  <si>
    <t>Women in Information Technology - Mulheres na Tecnologia da Informação</t>
  </si>
  <si>
    <t>Joint IFIP Wireless and Mobile Networking Conference - Conferência Conjunta IFIP de Redes Sem Fio e Móveis</t>
  </si>
  <si>
    <t>Wireless and Optical Communications Conference - Conferência de Comunicações Sem Fio e Ópticas</t>
  </si>
  <si>
    <t>International Workshop on Logic, Language, Information and Computation - Workshop Internacional sobre Lógica, Linguagem, Informação e Computação</t>
  </si>
  <si>
    <t>Wireless On-demand Network systems and Services Conference - Conferência sobre Sistemas e Serviços de Rede Wireless On-demand</t>
  </si>
  <si>
    <t>Workshop on Workflows in Support of Large-Scale Science - Workshop sobre Fluxos de Trabalho em Apoio à Ciência em Larga Escala</t>
  </si>
  <si>
    <t>World Conference on Information Systems and Technologies - Conferência Mundial sobre Sistemas e Tecnologias de Informação</t>
  </si>
  <si>
    <t>World Conference on Smart Trends in Systems, Security and Sustainability - Conferência Mundial sobre Tendências Inteligentes em Sistemas, Segurança e Sustentabilidade</t>
  </si>
  <si>
    <t>International Workshop on Mining Scientific Publications - Workshop Internacional sobre Mineração de Publicações Científicas</t>
  </si>
  <si>
    <t>Workshop de Pesquisa Experimental da Internet do Futuro - Workshop on Experimental Research of the Future Internet</t>
  </si>
  <si>
    <t>Workshop em Desempenho de Sistemas Computacionais e de Comunicação - Workshop on Performance of Computer and Communication Systems</t>
  </si>
  <si>
    <t>Annual ACM workshop on Privacy in the electronic society - Workshop Anual ACM sobre Privacidade na Sociedade Eletrônica</t>
  </si>
  <si>
    <t>Winter Simulation Conference - Conferência de Simulação de Inverno</t>
  </si>
  <si>
    <t>Workshop de Testes e Tolerância a Falhas - Workshop on Testing and Fault Tolerance</t>
  </si>
  <si>
    <t>The ACM Web Conference - A Conferência Web ACM</t>
  </si>
  <si>
    <t>International Conference on Agile Software Development - Conferência Internacional sobre Desenvolvimento Ágil de Software</t>
  </si>
  <si>
    <t>Sigla</t>
  </si>
  <si>
    <t>Nome do evento em inglês</t>
  </si>
  <si>
    <t>Nome do evento</t>
  </si>
  <si>
    <t>Estrato</t>
  </si>
  <si>
    <t>AAAI</t>
  </si>
  <si>
    <t>AAAI Conference on Artificial Intelligence</t>
  </si>
  <si>
    <t>Conferência AAAI sobre Inteligência Artificial</t>
  </si>
  <si>
    <t>A1</t>
  </si>
  <si>
    <t>AAMAS</t>
  </si>
  <si>
    <t>International Conference on Autonomous Agents and Multiagent Systems</t>
  </si>
  <si>
    <t>Conferência Internacional sobre Agentes Autônomos e Sistemas Multiagentes</t>
  </si>
  <si>
    <t>ACCV</t>
  </si>
  <si>
    <t>Asian Conference on Computer Vision</t>
  </si>
  <si>
    <t>Conferência Asiática sobre Visão Computacional</t>
  </si>
  <si>
    <t>ACII</t>
  </si>
  <si>
    <t>International Conference on Affective Computing and Intelligent Interaction</t>
  </si>
  <si>
    <t>Conferência Internacional sobre Computação Afetiva e Interação Inteligente</t>
  </si>
  <si>
    <t>A2</t>
  </si>
  <si>
    <t>ACISP</t>
  </si>
  <si>
    <t>Australasian Conference on Information Security and Privacy</t>
  </si>
  <si>
    <t>Conferência Australasiática sobre Segurança e Privacidade da Informação</t>
  </si>
  <si>
    <t>A4</t>
  </si>
  <si>
    <t>ACL</t>
  </si>
  <si>
    <t>Annual Meeting of the Association for Computational Linguistics</t>
  </si>
  <si>
    <t>Reunião Anual da Associação de Linguística Computacional</t>
  </si>
  <si>
    <t>ACMIDC</t>
  </si>
  <si>
    <t>ACM Internacional Conference on Interaction Design and Children</t>
  </si>
  <si>
    <t>Conferência Internacional ACM sobre Design de Interação e Crianças</t>
  </si>
  <si>
    <t>ACMIMX</t>
  </si>
  <si>
    <t>ACM International Conference on Interactive Media Experiences</t>
  </si>
  <si>
    <t>Conferência Internacional ACM sobre Experiências de Mídia Interativa</t>
  </si>
  <si>
    <t>A3</t>
  </si>
  <si>
    <t>ACMMM</t>
  </si>
  <si>
    <t>ACM International Conference on Multimedia</t>
  </si>
  <si>
    <t>Conferência Internacional ACM sobre Multimídia</t>
  </si>
  <si>
    <t>ACNS</t>
  </si>
  <si>
    <t>Applied Cryptography and Network Security</t>
  </si>
  <si>
    <t>Criptografia Aplicada e Segurança de Rede</t>
  </si>
  <si>
    <t>ACSOS</t>
  </si>
  <si>
    <t>IEEE International Conference on Autonomic Computing and Self-Organizing Systems</t>
  </si>
  <si>
    <t>Conferência Internacional IEEE sobre Computação Autonômica e Sistemas Auto-Organizáveis</t>
  </si>
  <si>
    <t>ADBIS</t>
  </si>
  <si>
    <t>East European Conference on Advances in Databases and Information Systems</t>
  </si>
  <si>
    <t>Conferência Leste Europeia sobre Avanços em Bancos de Dados e Sistemas de Informação</t>
  </si>
  <si>
    <t>ADVANCE</t>
  </si>
  <si>
    <t>International Workshop on Advances in ICT Infrastructures and Services</t>
  </si>
  <si>
    <t>Workshop Internacional sobre Avanços em Infraestruturas e Serviços de TIC</t>
  </si>
  <si>
    <t>B4</t>
  </si>
  <si>
    <t>AI</t>
  </si>
  <si>
    <t>Canadian Conference on Artificial Intelligence</t>
  </si>
  <si>
    <t>Conferência Canadense sobre Inteligência Artificial</t>
  </si>
  <si>
    <t>AICCSA</t>
  </si>
  <si>
    <t>ACS/IEEE International Conference on Computer Systems and Applications</t>
  </si>
  <si>
    <t>Conferência Internacional ACS/IEEE sobre Sistemas Computacionais e Aplicações</t>
  </si>
  <si>
    <t>AICT</t>
  </si>
  <si>
    <t>International Conference on Application of Information and Communication Technologies</t>
  </si>
  <si>
    <t>Conferência Internacional sobre Aplicação de Tecnologias de Informação e Comunicação</t>
  </si>
  <si>
    <t>AIDKE</t>
  </si>
  <si>
    <t>IEEE International Conference on Artificial Intelligence, Data and Knowledge Engineering</t>
  </si>
  <si>
    <t>Conferência Internacional IEEE sobre Inteligência Artificial, Dados e Engenharia de Conhecimento</t>
  </si>
  <si>
    <t>AIED</t>
  </si>
  <si>
    <t>International Conference on Artificial Intelligence in Education</t>
  </si>
  <si>
    <t>Conferência Internacional sobre Inteligência Artificial na Educação</t>
  </si>
  <si>
    <t>AIES</t>
  </si>
  <si>
    <t>AAAI/ACM Conference on AI, Ethics, and Society</t>
  </si>
  <si>
    <t>Conferência AAAI/ACM sobre IA, Ética e Sociedade</t>
  </si>
  <si>
    <t>AIIDE</t>
  </si>
  <si>
    <t>AAAI Conference on Artificial Intelligence and Interactive Digital Entertainment</t>
  </si>
  <si>
    <t>Conferência AAAI sobre Inteligência Artificial e Entretenimento Digital Interativo</t>
  </si>
  <si>
    <t>AIME</t>
  </si>
  <si>
    <t>Conference on Artificial Intelligence in Medicine</t>
  </si>
  <si>
    <t>Conferência sobre Inteligência Artificial na Medicina</t>
  </si>
  <si>
    <t>AINA</t>
  </si>
  <si>
    <t>IEEE International Conference on Advanced Information Networking and Applications</t>
  </si>
  <si>
    <t>Conferência Internacional IEEE sobre Redes de Informação Avançadas e Aplicações</t>
  </si>
  <si>
    <t>AISTATS</t>
  </si>
  <si>
    <t>International Conference on Artificial Intelligence and Statistics</t>
  </si>
  <si>
    <t>Conferência Internacional sobre Inteligência Artificial e Estatística</t>
  </si>
  <si>
    <t>AIWARE</t>
  </si>
  <si>
    <t>ACM International Conference on AI-Powered Software</t>
  </si>
  <si>
    <t>Conferência Internacional ACM sobre Software Impulsionado por IA</t>
  </si>
  <si>
    <t>B3</t>
  </si>
  <si>
    <t>AlCoB</t>
  </si>
  <si>
    <t>International Conference on Algorithms for Computational Biology</t>
  </si>
  <si>
    <t>Conferência Internacional sobre Algoritmos para Biologia Computacional</t>
  </si>
  <si>
    <t>B2</t>
  </si>
  <si>
    <t>ALIO/EURO</t>
  </si>
  <si>
    <t>Joint ALIO/EURO International Conference on Applied Combinatorial Optimization</t>
  </si>
  <si>
    <t>Conferência Internacional Conjunta ALIO/EURO sobre Otimização Combinatória Aplicada</t>
  </si>
  <si>
    <t>AMCIS</t>
  </si>
  <si>
    <t>Americas Conference on Information Systems</t>
  </si>
  <si>
    <t>Conferência das Américas sobre Sistemas de Informação</t>
  </si>
  <si>
    <t>ANT</t>
  </si>
  <si>
    <t>International Conference on Ambient Systems, Networks and Technologies</t>
  </si>
  <si>
    <t>Conferência Internacional sobre Sistemas Ambientais, Redes e Tecnologias</t>
  </si>
  <si>
    <t>ARC</t>
  </si>
  <si>
    <t>International Symposium on Applied Reconfigurable Computing</t>
  </si>
  <si>
    <t>Simpósio Internacional sobre Computação Reconfigurável Aplicada</t>
  </si>
  <si>
    <t>B1</t>
  </si>
  <si>
    <t>ARCS</t>
  </si>
  <si>
    <t>International Conference on Architecture of Computing Systems</t>
  </si>
  <si>
    <t>Conferência Internacional sobre Arquitetura de Sistemas Computacionais</t>
  </si>
  <si>
    <t>ARES</t>
  </si>
  <si>
    <t>International Conference on Availability, Reliability and Security</t>
  </si>
  <si>
    <t>Conferência Internacional sobre Disponibilidade, Confiabilidade e Segurança</t>
  </si>
  <si>
    <t>ASAP</t>
  </si>
  <si>
    <t>IEEE International Conference on Application-specific Systems, Architectures and Processors</t>
  </si>
  <si>
    <t>Conferência Internacional IEEE sobre Sistemas, Arquiteturas e Processadores de Aplicação Específica</t>
  </si>
  <si>
    <t>ASE</t>
  </si>
  <si>
    <t>IEEE/ACM International Conference on Automated Software Engineering</t>
  </si>
  <si>
    <t>Conferência Internacional IEEE/ACM sobre Engenharia de Software Automatizada</t>
  </si>
  <si>
    <t>ASIACRYPT</t>
  </si>
  <si>
    <t>Annual International Conference on the Theory and Applications of Cryptology and Information Security</t>
  </si>
  <si>
    <t>Conferência Internacional Anual sobre Teoria e Aplicações de Criptologia e Segurança da Informação</t>
  </si>
  <si>
    <t>ASONAM</t>
  </si>
  <si>
    <t>IEEE/ACM International Conference on Advances in Social Networks Analysis and Mining</t>
  </si>
  <si>
    <t>Conferência Internacional IEEE/ACM sobre Avanços em Análise e Mineração de Redes Sociais</t>
  </si>
  <si>
    <t>ASP-DAC</t>
  </si>
  <si>
    <t>Asia and South Pacific Design Automation Conference</t>
  </si>
  <si>
    <t>Conferência de Automação de Design da Ásia e Pacífico Sul</t>
  </si>
  <si>
    <t>AST</t>
  </si>
  <si>
    <t>IEEE/ACM International Workshop on Automation of Software Testing</t>
  </si>
  <si>
    <t>Workshop Internacional IEEE/ACM sobre Automação de Testes de Software</t>
  </si>
  <si>
    <t>ATC</t>
  </si>
  <si>
    <t>USENIX Annual Technical Conference</t>
  </si>
  <si>
    <t>Conferência Técnica Anual USENIX</t>
  </si>
  <si>
    <t>ATT</t>
  </si>
  <si>
    <t>International Workshop on Agents in Traffic and Transportation</t>
  </si>
  <si>
    <t>Workshop Internacional sobre Agentes em Tráfego e Transporte</t>
  </si>
  <si>
    <t>AUDIOMOSTLY</t>
  </si>
  <si>
    <t>Audio Mostly Conference</t>
  </si>
  <si>
    <t>Conferência Audio Mostly</t>
  </si>
  <si>
    <t>BCCA</t>
  </si>
  <si>
    <t>International Conference on Blockchain Computing and Applications</t>
  </si>
  <si>
    <t>Conferência Internacional sobre Computação e Aplicações de Blockchain</t>
  </si>
  <si>
    <t>BDCAT</t>
  </si>
  <si>
    <t>IEEE/ACM International Conference on Big Data Computing, Applications and Technologies</t>
  </si>
  <si>
    <t>Conferência Internacional IEEE/ACM sobre Computação, Aplicações e Tecnologias de Big Data</t>
  </si>
  <si>
    <t>BDCLOUD</t>
  </si>
  <si>
    <t>International Conference on Big Data and Cloud Computing</t>
  </si>
  <si>
    <t>Conferência Internacional sobre Big Data e Computação em Nuvem</t>
  </si>
  <si>
    <t>BESC</t>
  </si>
  <si>
    <t>International Conference on Behavior, Economic and Social Computing</t>
  </si>
  <si>
    <t>Conferência Internacional sobre Computação Comportamental, Econômica e Social</t>
  </si>
  <si>
    <t>BIBE</t>
  </si>
  <si>
    <t>IEEE International Conference on BioInformatics and BioEngineering</t>
  </si>
  <si>
    <t>Conferência Internacional IEEE sobre Bioinformática e Bioengenharia</t>
  </si>
  <si>
    <t>BIBM</t>
  </si>
  <si>
    <t>IEEE International Conference on Bioinformatics and Biomedicine</t>
  </si>
  <si>
    <t>Conferência Internacional IEEE sobre Bioinformática e Biomedicina</t>
  </si>
  <si>
    <t>BIGCOMP</t>
  </si>
  <si>
    <t>International Conference on Big Data and Smart Computing</t>
  </si>
  <si>
    <t>Conferência Internacional sobre Big Data e Computação Inteligente</t>
  </si>
  <si>
    <t>BIGDATA</t>
  </si>
  <si>
    <t>IEEE International Conference on Big Data</t>
  </si>
  <si>
    <t>Conferência Internacional IEEE sobre Big Data</t>
  </si>
  <si>
    <t>BIGMM</t>
  </si>
  <si>
    <t>IEEE International Conference on Multimedia Big Data</t>
  </si>
  <si>
    <t>Conferência Internacional IEEE sobre Big Data Multimídia</t>
  </si>
  <si>
    <t>BIOCOMP-WC</t>
  </si>
  <si>
    <t>International Conference on Bioinformatics &amp; Computational Biology</t>
  </si>
  <si>
    <t>Conferência Internacional sobre Bioinformática e Biologia Computacional</t>
  </si>
  <si>
    <t>BioRob</t>
  </si>
  <si>
    <t>IEEE RAS &amp; EMBS International Conference on Biomedical Robotics and Biomechatronics</t>
  </si>
  <si>
    <t>Conferência Internacional IEEE RAS &amp; EMBS sobre Robótica Biomédica e Biomecatrônica</t>
  </si>
  <si>
    <t>BLOCKCHAIN</t>
  </si>
  <si>
    <t>IEEE International Conference on Blockchain</t>
  </si>
  <si>
    <t>Conferência Internacional IEEE sobre Blockchain</t>
  </si>
  <si>
    <t>BMSB</t>
  </si>
  <si>
    <t>IEEE International Symposium on Broadband Multimedia Systems and Broadcasting</t>
  </si>
  <si>
    <t>Simpósio Internacional IEEE sobre Sistemas Multimídia de Banda Larga e Radiodifusão</t>
  </si>
  <si>
    <t>BMSD</t>
  </si>
  <si>
    <t>International Business Modeling and Software Design Symposium</t>
  </si>
  <si>
    <t>Simpósio Internacional de Modelagem de Negócios e Design de Software</t>
  </si>
  <si>
    <t>BMVC</t>
  </si>
  <si>
    <t>British Machine Vision Conference</t>
  </si>
  <si>
    <t>Conferência Britânica de Visão Computacional</t>
  </si>
  <si>
    <t>BPM</t>
  </si>
  <si>
    <t>International Conference on Business Process Management</t>
  </si>
  <si>
    <t>Conferência Internacional sobre Gestão de Processos de Negócios</t>
  </si>
  <si>
    <t>BPMS2</t>
  </si>
  <si>
    <t>Workshop on Social and Human Aspects of Business Process Management</t>
  </si>
  <si>
    <t>Workshop sobre Aspectos Sociais e Humanos da Gestão de Processos de Negócios</t>
  </si>
  <si>
    <t>BRACIS</t>
  </si>
  <si>
    <t>Brazilian Conference on Intelligent Systems</t>
  </si>
  <si>
    <t>Conferência Brasileira de Sistemas Inteligentes</t>
  </si>
  <si>
    <t>BRASERO</t>
  </si>
  <si>
    <t>Brazilian Workshop on Service Robotics</t>
  </si>
  <si>
    <t>Workshop Brasileiro de Robótica de Serviço</t>
  </si>
  <si>
    <t>BRASNAM</t>
  </si>
  <si>
    <t>Brazilian Workshop on Social Network Analysis and Mining</t>
  </si>
  <si>
    <t>Workshop Brasileiro de Análise e Mineração de Redes Sociais</t>
  </si>
  <si>
    <t>BRESCI</t>
  </si>
  <si>
    <t>Brazilian e-Science Workshop</t>
  </si>
  <si>
    <t>Workshop Brasileiro de e-Ciência</t>
  </si>
  <si>
    <t>BSB</t>
  </si>
  <si>
    <t>Brazilian Symposium on Bioinformatics</t>
  </si>
  <si>
    <t>Simpósio Brasileiro de Bioinformática</t>
  </si>
  <si>
    <t>BSN</t>
  </si>
  <si>
    <t>IEEE-EMBS International Conference on Wearable and Implantable Body Sensor Networks</t>
  </si>
  <si>
    <t>Conferência Internacional IEEE-EMBS sobre Redes de Sensores Corporais Vestíveis e Implantáveis</t>
  </si>
  <si>
    <t>BTAS</t>
  </si>
  <si>
    <t>IEEE International Conference on Biometrics: Theory, Applications, and Systems</t>
  </si>
  <si>
    <t>Conferência Internacional IEEE sobre Biometria: Teoria, Aplicações e Sistemas</t>
  </si>
  <si>
    <t>BWAIF</t>
  </si>
  <si>
    <t>Brazilian Workshop on Artificial Intelligence in Finance</t>
  </si>
  <si>
    <t>Workshop Brasileiro de Inteligência Artificial em Finanças</t>
  </si>
  <si>
    <t>CADE</t>
  </si>
  <si>
    <t>International Conference on Automated Deduction</t>
  </si>
  <si>
    <t>Conferência Internacional sobre Dedução Automatizada</t>
  </si>
  <si>
    <t>CAIN</t>
  </si>
  <si>
    <t>International Conference on AI Engineering – Software Engineering for AI</t>
  </si>
  <si>
    <t>Conferência Internacional sobre Engenharia de IA – Engenharia de Software para IA</t>
  </si>
  <si>
    <t>CAIP</t>
  </si>
  <si>
    <t>International Conference on Computer Analysis of Images and Patterns</t>
  </si>
  <si>
    <t>Conferência Internacional sobre Análise Computacional de Imagens e Padrões</t>
  </si>
  <si>
    <t>CAISE</t>
  </si>
  <si>
    <t>International Conference on Advanced Information Systems Engineering</t>
  </si>
  <si>
    <t>Conferência Internacional sobre Engenharia Avançada de Sistemas de Informação</t>
  </si>
  <si>
    <t>CALDAM</t>
  </si>
  <si>
    <t>International Conference on Algorithms and Discrete Applied Mathematics</t>
  </si>
  <si>
    <t>Conferência Internacional sobre Algoritmos e Matemática Aplicada Discreta</t>
  </si>
  <si>
    <t>CANDAR</t>
  </si>
  <si>
    <t>International Symposium on Computing and Networking</t>
  </si>
  <si>
    <t>Simpósio Internacional sobre Computação e Redes</t>
  </si>
  <si>
    <t>CANS</t>
  </si>
  <si>
    <t>International Conference on Cryptology and Network Security</t>
  </si>
  <si>
    <t>Conferência Internacional sobre Criptologia e Segurança de Rede</t>
  </si>
  <si>
    <t>CASCON</t>
  </si>
  <si>
    <t>Annual International Conference on Computer Science and Software Engineering</t>
  </si>
  <si>
    <t>Conferência Internacional Anual sobre Ciência da Computação e Engenharia de Software</t>
  </si>
  <si>
    <t>CASE</t>
  </si>
  <si>
    <t>IEEE Conference on Automation Science and Engineering</t>
  </si>
  <si>
    <t>Conferência IEEE sobre Ciência e Engenharia de Automação</t>
  </si>
  <si>
    <t>CATA</t>
  </si>
  <si>
    <t>International Conference on Computers and their Applications</t>
  </si>
  <si>
    <t>Conferência Internacional sobre Computadores e suas Aplicações</t>
  </si>
  <si>
    <t>CAV</t>
  </si>
  <si>
    <t>International Conference on Computer Aided Verification</t>
  </si>
  <si>
    <t>Conferência Internacional sobre Verificação Auxiliada por Computador</t>
  </si>
  <si>
    <t>CBA</t>
  </si>
  <si>
    <t>Congresso Brasileiro de Automática</t>
  </si>
  <si>
    <t>Brazilian Congress of Automation</t>
  </si>
  <si>
    <t>CBI</t>
  </si>
  <si>
    <t>IEEE Conference on Business Informatics</t>
  </si>
  <si>
    <t>Conferência IEEE sobre Informática de Negócios</t>
  </si>
  <si>
    <t>CBIC</t>
  </si>
  <si>
    <t>Congresso Brasileiro de Inteligência Computacional</t>
  </si>
  <si>
    <t>Brazilian Congress on Computational Intelligence</t>
  </si>
  <si>
    <t>CBIS</t>
  </si>
  <si>
    <t>Congresso Brasileiro de Informática em Saúde</t>
  </si>
  <si>
    <t>Brazilian Congress on Health Informatics</t>
  </si>
  <si>
    <t>CBMI</t>
  </si>
  <si>
    <t>International Workshop on Content-Based Multimedia Indexing</t>
  </si>
  <si>
    <t>Workshop Internacional sobre Indexação Multimídia Baseada em Conteúdo</t>
  </si>
  <si>
    <t>CBMS</t>
  </si>
  <si>
    <t>International Symposium on Computer-Based Medical Systems</t>
  </si>
  <si>
    <t>Simpósio Internacional sobre Sistemas Médicos Baseados em Computador</t>
  </si>
  <si>
    <t>CC</t>
  </si>
  <si>
    <t>International Conference on Compiler Construction</t>
  </si>
  <si>
    <t>Conferência Internacional sobre Construção de Compiladores</t>
  </si>
  <si>
    <t>CCC</t>
  </si>
  <si>
    <t>IEEE Conference on Computational Complexity</t>
  </si>
  <si>
    <t>Conferência IEEE sobre Complexidade Computacional</t>
  </si>
  <si>
    <t>CCCG</t>
  </si>
  <si>
    <t>Canadian Conference on Computational Geometry</t>
  </si>
  <si>
    <t>Conferência Canadense de Geometria Computacional</t>
  </si>
  <si>
    <t>CCECE</t>
  </si>
  <si>
    <t>Canadian Conference on Electrical and Computer Engineering</t>
  </si>
  <si>
    <t>Conferência Canadense de Engenharia Elétrica e de Computação</t>
  </si>
  <si>
    <t>CCGRID</t>
  </si>
  <si>
    <t>IEEE/ACM International Symposium on Cluster, Cloud and Grid Computing</t>
  </si>
  <si>
    <t>Simpósio Internacional IEEE/ACM sobre Computação em Cluster, Nuvem e Grade</t>
  </si>
  <si>
    <t>CCNC</t>
  </si>
  <si>
    <t>Annual IEEE Consumer Communications &amp; Networking Conference</t>
  </si>
  <si>
    <t>Conferência Anual IEEE de Comunicações e Redes ao Consumidor</t>
  </si>
  <si>
    <t>CCS</t>
  </si>
  <si>
    <t>ACM Symposium on Computer and Communications Security</t>
  </si>
  <si>
    <t>Simpósio ACM sobre Segurança de Computadores e Comunicações</t>
  </si>
  <si>
    <t>CDC</t>
  </si>
  <si>
    <t>IEEE Conference on Decision and Control</t>
  </si>
  <si>
    <t>Conferência IEEE sobre Decisão e Controle</t>
  </si>
  <si>
    <t>CEC</t>
  </si>
  <si>
    <t>IEEE Congress on Evolutionary Computation</t>
  </si>
  <si>
    <t>Congresso IEEE sobre Computação Evolutiva</t>
  </si>
  <si>
    <t>CF</t>
  </si>
  <si>
    <t>ACM International Conference on Computing Frontiers</t>
  </si>
  <si>
    <t>Conferência Internacional ACM sobre Fronteiras da Computação</t>
  </si>
  <si>
    <t>CGI</t>
  </si>
  <si>
    <t>Computer Graphics International Conference</t>
  </si>
  <si>
    <t>Conferência Internacional de Computação Gráfica</t>
  </si>
  <si>
    <t>CGO</t>
  </si>
  <si>
    <t>International Symposium on Code Generation and Optimization</t>
  </si>
  <si>
    <t>Simpósio Internacional sobre Geração de Código e Otimização</t>
  </si>
  <si>
    <t>CHASE</t>
  </si>
  <si>
    <t>International Workshop on Cooperative and Human Aspects of Software Engineering</t>
  </si>
  <si>
    <t>Workshop Internacional sobre Aspectos Cooperativos e Humanos da Engenharia de Software</t>
  </si>
  <si>
    <t>CHI</t>
  </si>
  <si>
    <t>ACM Conference on Human Factors in Computing Systems</t>
  </si>
  <si>
    <t>Conferência ACM sobre Fatores Humanos em Sistemas Computacionais</t>
  </si>
  <si>
    <t>CHIPlay</t>
  </si>
  <si>
    <t>ACM SIGCHI Annual Symposium on Computer-Human Interaction in Play</t>
  </si>
  <si>
    <t>Simpósio Anual ACM SIGCHI sobre Interação Computador-Humano em Jogos</t>
  </si>
  <si>
    <t>CIAC</t>
  </si>
  <si>
    <t>International Conference on Algorithms and Complexity</t>
  </si>
  <si>
    <t>Conferência Internacional sobre Algoritmos e Complexidade</t>
  </si>
  <si>
    <t>CIARP</t>
  </si>
  <si>
    <t>Iberoamerican Congress on Pattern Recognition</t>
  </si>
  <si>
    <t>Congresso Ibero-americano de Reconhecimento de Padrões</t>
  </si>
  <si>
    <t>CIBCB</t>
  </si>
  <si>
    <t>IEEE Conference on Computational Intelligence in Bioinformatics and Computational Biology</t>
  </si>
  <si>
    <t>Conferência IEEE sobre Inteligência Computacional em Bioinformática e Biologia Computacional</t>
  </si>
  <si>
    <t>CIbSE</t>
  </si>
  <si>
    <t>Conferencia Iberoamericana de Software Engineering</t>
  </si>
  <si>
    <t>Ibero-American Conference on Software Engineering</t>
  </si>
  <si>
    <t>CICLING</t>
  </si>
  <si>
    <t>International Conference on Intelligent Text Processing and Computational Linguistics</t>
  </si>
  <si>
    <t>Conferência Internacional sobre Processamento Inteligente de Texto e Linguística Computacional</t>
  </si>
  <si>
    <t>CIDI</t>
  </si>
  <si>
    <t>Congresso Internacional de Design da Informação</t>
  </si>
  <si>
    <t>International Congress of Information Design</t>
  </si>
  <si>
    <t>CIKM</t>
  </si>
  <si>
    <t>ACM International Conference on Information and Knowledge Management</t>
  </si>
  <si>
    <t>Conferência Internacional ACM sobre Gestão de Informação e Conhecimento</t>
  </si>
  <si>
    <t>CILAMCE</t>
  </si>
  <si>
    <t>Iberian Latin American Congress on Computational Methods</t>
  </si>
  <si>
    <t>Congresso Ibero-Latino-Americano de Métodos Computacionais</t>
  </si>
  <si>
    <t>CISTI</t>
  </si>
  <si>
    <t>Iberian Conference on Information Systems and Technologies</t>
  </si>
  <si>
    <t>Conferência Ibérica sobre Sistemas e Tecnologias de Informação</t>
  </si>
  <si>
    <t>CIT</t>
  </si>
  <si>
    <t>IEEE International Conference on Information Technology</t>
  </si>
  <si>
    <t>Conferência Internacional IEEE sobre Tecnologia da Informação</t>
  </si>
  <si>
    <t>CLAIO</t>
  </si>
  <si>
    <t>Latin-Ibero-American Conference on Operations Research</t>
  </si>
  <si>
    <t>Conferência Latino-Ibero-Americana de Pesquisa Operacional</t>
  </si>
  <si>
    <t>CLEF</t>
  </si>
  <si>
    <t>Conference and Labs of the Evaluation Forum</t>
  </si>
  <si>
    <t>Conferência e Laboratórios do Fórum de Avaliação</t>
  </si>
  <si>
    <t>CLEI</t>
  </si>
  <si>
    <t>Conferencia Latinoamericana de Informática</t>
  </si>
  <si>
    <t>Latin American Conference on Informatics</t>
  </si>
  <si>
    <t>CLIHC</t>
  </si>
  <si>
    <t>Latin American Conference on Human Computer Interaction</t>
  </si>
  <si>
    <t>Conferência Latino-Americana de Interação Humano-Computador</t>
  </si>
  <si>
    <t>CLOSER</t>
  </si>
  <si>
    <t>International Conference on Cloud Computing and Services Science</t>
  </si>
  <si>
    <t>Conferência Internacional sobre Computação em Nuvem e Ciência de Serviços</t>
  </si>
  <si>
    <t>CLOUD</t>
  </si>
  <si>
    <t>IEEE International Conference on Cloud Computing</t>
  </si>
  <si>
    <t>Conferência Internacional IEEE sobre Computação em Nuvem</t>
  </si>
  <si>
    <t>CLOUDCOM</t>
  </si>
  <si>
    <t>IEEE International Conference on Cloud Computing Technology and Science</t>
  </si>
  <si>
    <t>Conferência Internacional IEEE sobre Tecnologia e Ciência da Computação em Nuvem</t>
  </si>
  <si>
    <t>CLOUDNET</t>
  </si>
  <si>
    <t>IEEE International Conference on Cloud Networking</t>
  </si>
  <si>
    <t>Conferência Internacional IEEE sobre Redes em Nuvem</t>
  </si>
  <si>
    <t>CLUSTER</t>
  </si>
  <si>
    <t>IEEE International Conference on Cluster Computing</t>
  </si>
  <si>
    <t>Conferência Internacional IEEE sobre Computação em Cluster</t>
  </si>
  <si>
    <t>CMMR</t>
  </si>
  <si>
    <t>International Symposium on Computer Music Multidisciplinary Research</t>
  </si>
  <si>
    <t>Simpósio Internacional de Pesquisa Multidisciplinar em Música Computacional</t>
  </si>
  <si>
    <t>CMN</t>
  </si>
  <si>
    <t>Congress on Numerical Methods in Engineering</t>
  </si>
  <si>
    <t>Congresso sobre Métodos Numéricos em Engenharia</t>
  </si>
  <si>
    <t>CNMAC</t>
  </si>
  <si>
    <t>Congresso Nacional de Matemática Aplicada e Computacional</t>
  </si>
  <si>
    <t>National Congress of Applied and Computational Mathematics</t>
  </si>
  <si>
    <t>CNSM</t>
  </si>
  <si>
    <t>International Conference on Network and Service Management</t>
  </si>
  <si>
    <t>Conferência Internacional sobre Gestão de Redes e Serviços</t>
  </si>
  <si>
    <t>COCOA</t>
  </si>
  <si>
    <t>International Conference on Combinatorial Optimization and Applications</t>
  </si>
  <si>
    <t>Conferência Internacional sobre Otimização Combinatória e Aplicações</t>
  </si>
  <si>
    <t>COCOON</t>
  </si>
  <si>
    <t>International Computing and Combinatorics Conference</t>
  </si>
  <si>
    <t>Conferência Internacional de Computação e Combinatória</t>
  </si>
  <si>
    <t>COG</t>
  </si>
  <si>
    <t>Conference on Games</t>
  </si>
  <si>
    <t>Conferência sobre Jogos</t>
  </si>
  <si>
    <t>COLING</t>
  </si>
  <si>
    <t>International Conference on Computational Linguistics</t>
  </si>
  <si>
    <t>Conferência Internacional sobre Linguística Computacional</t>
  </si>
  <si>
    <t>CoMeSySo</t>
  </si>
  <si>
    <t>Computational Methods in Systems and Software</t>
  </si>
  <si>
    <t>Métodos Computacionais em Sistemas e Software</t>
  </si>
  <si>
    <t>COMPLEXNETWORKS</t>
  </si>
  <si>
    <t>International Conference on Complex Networks and Their Applications</t>
  </si>
  <si>
    <t>Conferência Internacional sobre Redes Complexas e suas Aplicações</t>
  </si>
  <si>
    <t>COMPSAC</t>
  </si>
  <si>
    <t>IEEE Computer Software and Applications Conference</t>
  </si>
  <si>
    <t>Conferência IEEE de Software e Aplicações Computacionais</t>
  </si>
  <si>
    <t>COMSNETS</t>
  </si>
  <si>
    <t>International Conference on Communication Systems &amp; NetworkS</t>
  </si>
  <si>
    <t>Conferência Internacional sobre Sistemas de Comunicação e Redes</t>
  </si>
  <si>
    <t>CONEXT</t>
  </si>
  <si>
    <t>Conference on Emerging Network Experiment and Technology</t>
  </si>
  <si>
    <t>Conferência sobre Experimentos e Tecnologias de Rede Emergentes</t>
  </si>
  <si>
    <t>CoNLL</t>
  </si>
  <si>
    <t>Conference on Natural Language Learning</t>
  </si>
  <si>
    <t>Conferência sobre Aprendizado de Linguagem Natural</t>
  </si>
  <si>
    <t>CONTECSI</t>
  </si>
  <si>
    <t>International Conference on Information Systems and Technology Management</t>
  </si>
  <si>
    <t>Conferência Internacional sobre Gestão de Sistemas e Tecnologia da Informação</t>
  </si>
  <si>
    <t>COOPIS</t>
  </si>
  <si>
    <t>International Conference on Cooperative Information Systems</t>
  </si>
  <si>
    <t>Conferência Internacional sobre Sistemas de Informação Cooperativos</t>
  </si>
  <si>
    <t>COURB</t>
  </si>
  <si>
    <t>Workshop of Urban Computing</t>
  </si>
  <si>
    <t>Workshop de Computação Urbana</t>
  </si>
  <si>
    <t>CPAIOR</t>
  </si>
  <si>
    <t>International Conference on Integration of Constraint Programming, Artificial Intelligence, and Operations Research</t>
  </si>
  <si>
    <t>Conferência Internacional sobre Integração de Programação por Restrições, Inteligência Artificial e Pesquisa Operacional</t>
  </si>
  <si>
    <t>CRTL+E</t>
  </si>
  <si>
    <t>Congresso sobre Tecnologias na Educação</t>
  </si>
  <si>
    <t>Congress on Technologies in Education</t>
  </si>
  <si>
    <t>CSCW</t>
  </si>
  <si>
    <t>ACM Conference on Computer Supported Cooperative Work &amp; Social Computing</t>
  </si>
  <si>
    <t>Conferência ACM sobre Trabalho Cooperativo Suportado por Computador e Computação Social</t>
  </si>
  <si>
    <t>CSCWD</t>
  </si>
  <si>
    <t>IEEE International Conference on Computer Supported Cooperative Work in Design</t>
  </si>
  <si>
    <t>Conferência Internacional IEEE sobre Trabalho Cooperativo Suportado por Computador em Design</t>
  </si>
  <si>
    <t>CSE</t>
  </si>
  <si>
    <t>International Conference on Computational Science and Engineering</t>
  </si>
  <si>
    <t>Conferência Internacional sobre Ciência e Engenharia Computacional</t>
  </si>
  <si>
    <t>CSEDU</t>
  </si>
  <si>
    <t>International Conference on Computer Supported Education</t>
  </si>
  <si>
    <t>Conferência Internacional sobre Educação Suportada por Computador</t>
  </si>
  <si>
    <t>CSF</t>
  </si>
  <si>
    <t>IEEE Computer Security Foundations Symposium</t>
  </si>
  <si>
    <t>Simpósio IEEE de Fundamentos de Segurança Computacional</t>
  </si>
  <si>
    <t>CSNet</t>
  </si>
  <si>
    <t>Cyber Security in Networking Conference</t>
  </si>
  <si>
    <t>Conferência de Cibersegurança em Redes</t>
  </si>
  <si>
    <t>CSR</t>
  </si>
  <si>
    <t>IEEE International Conference on Cyber Security and Resilience</t>
  </si>
  <si>
    <t>Conferência Internacional IEEE sobre Cibersegurança e Resiliência</t>
  </si>
  <si>
    <t>CVPR</t>
  </si>
  <si>
    <t>IEEE Conference on Computer Vision and Pattern Recognition</t>
  </si>
  <si>
    <t>Conferência IEEE sobre Visão Computacional e Reconhecimento de Padrões</t>
  </si>
  <si>
    <t>CVPR-E</t>
  </si>
  <si>
    <t>IEEE Conference on Computer Vision and Pattern Recognition Companion</t>
  </si>
  <si>
    <t>Conferência IEEE sobre Visão Computacional e Reconhecimento de Padrões (Complementar)</t>
  </si>
  <si>
    <t>DAC</t>
  </si>
  <si>
    <t>Design Automation Conference</t>
  </si>
  <si>
    <t>Conferência de Automação de Design</t>
  </si>
  <si>
    <t>DARS</t>
  </si>
  <si>
    <t>International Symposium on Distributed Autonomous Robotic Systems</t>
  </si>
  <si>
    <t>Simpósio Internacional sobre Sistemas Robóticos Autônomos Distribuídos</t>
  </si>
  <si>
    <t>DASFAA</t>
  </si>
  <si>
    <t>International Conference on Database Systems for Advanced Applications</t>
  </si>
  <si>
    <t>Conferência Internacional sobre Sistemas de Banco de Dados para Aplicações Avançadas</t>
  </si>
  <si>
    <t>DATA</t>
  </si>
  <si>
    <t>International Conference on Data Science, Technology and Applications</t>
  </si>
  <si>
    <t>Conferência Internacional sobre Ciência de Dados, Tecnologia e Aplicações</t>
  </si>
  <si>
    <t>DATE</t>
  </si>
  <si>
    <t>Design, Automation and Test in Europe Conference and Exhibition</t>
  </si>
  <si>
    <t>Conferência e Exposição de Design, Automação e Teste na Europa</t>
  </si>
  <si>
    <t>DAWAK</t>
  </si>
  <si>
    <t>International Conference on Big Data Analytics and Knowledge Discovery</t>
  </si>
  <si>
    <t>Conferência Internacional sobre Análise de Big Data e Descoberta de Conhecimento</t>
  </si>
  <si>
    <t>DBSEC</t>
  </si>
  <si>
    <t>IFIP WG 11.3 Conference on Data and Applications Security and Privacy</t>
  </si>
  <si>
    <t>Conferência IFIP WG 11.3 sobre Segurança e Privacidade de Dados e Aplicações</t>
  </si>
  <si>
    <t>DCOSS</t>
  </si>
  <si>
    <t>International Conference on Distributed Computing in Sensor Systems</t>
  </si>
  <si>
    <t>Conferência Internacional sobre Computação Distribuída em Sistemas de Sensores</t>
  </si>
  <si>
    <t>DEXA</t>
  </si>
  <si>
    <t>International Conference on Database and Expert Systems Applications</t>
  </si>
  <si>
    <t>Conferência Internacional sobre Bancos de Dados e Aplicações de Sistemas Especialistas</t>
  </si>
  <si>
    <t>DFTVS</t>
  </si>
  <si>
    <t>IEEE International Symposium on Defect and Fault Tolerance in VLSI Systems</t>
  </si>
  <si>
    <t>Simpósio Internacional IEEE sobre Tolerância a Defeitos e Falhas em Sistemas VLSI</t>
  </si>
  <si>
    <t>DGMM</t>
  </si>
  <si>
    <t>Discrete Geometry and Mathematical Morphology</t>
  </si>
  <si>
    <t>Geometria Discreta e Morfologia Matemática</t>
  </si>
  <si>
    <t>DGO</t>
  </si>
  <si>
    <t>Annual International Conference on Digital Government Research</t>
  </si>
  <si>
    <t>Conferência Internacional Anual sobre Pesquisa em Governo Digital</t>
  </si>
  <si>
    <t>DL</t>
  </si>
  <si>
    <t>International Workshop on Description Logics</t>
  </si>
  <si>
    <t>Workshop Internacional sobre Lógicas de Descrição</t>
  </si>
  <si>
    <t>DMSVIVA</t>
  </si>
  <si>
    <t>International DMS Conference on Visualization and Visual Languages</t>
  </si>
  <si>
    <t>Conferência Internacional DMS sobre Visualização e Linguagens Visuais</t>
  </si>
  <si>
    <t>DOCENG</t>
  </si>
  <si>
    <t>ACM Symposium on Document Engineering</t>
  </si>
  <si>
    <t>Simpósio ACM sobre Engenharia de Documentos</t>
  </si>
  <si>
    <t>DRCN</t>
  </si>
  <si>
    <t>International Conference on the Design of Reliable Communication Networks</t>
  </si>
  <si>
    <t>Conferência Internacional sobre o Design de Redes de Comunicação Confiáveis</t>
  </si>
  <si>
    <t>DS-RT</t>
  </si>
  <si>
    <t>IEEE/ACM International Symposium on Distributed Simulation and Real-Time Applications</t>
  </si>
  <si>
    <t>Simpósio Internacional IEEE/ACM sobre Simulação Distribuída e Aplicações em Tempo Real</t>
  </si>
  <si>
    <t>DSAA</t>
  </si>
  <si>
    <t>IEEE International Conference on Data Science and Advanced Analytics</t>
  </si>
  <si>
    <t>Conferência Internacional IEEE sobre Ciência de Dados e Análise Avançada</t>
  </si>
  <si>
    <t>DSAI</t>
  </si>
  <si>
    <t>International Conference on Software Development for Enhancing Accessibility and Fighting Info-exclusion</t>
  </si>
  <si>
    <t>Conferência Internacional sobre Desenvolvimento de Software para Melhorar a Acessibilidade e Combater a Info-exclusão</t>
  </si>
  <si>
    <t>DSD</t>
  </si>
  <si>
    <t>Euromicro Conference on Digital System Design, Architectures, Methods and Tools</t>
  </si>
  <si>
    <t>Conferência Euromicro sobre Design de Sistemas Digitais, Arquiteturas, Métodos e Ferramentas</t>
  </si>
  <si>
    <t>DSN</t>
  </si>
  <si>
    <t>Annual IEEE/IFIP International Conference on Dependable Systems and Networks</t>
  </si>
  <si>
    <t>Conferência Internacional Anual IEEE/IFIP sobre Sistemas e Redes Confiáveis</t>
  </si>
  <si>
    <t>DSW</t>
  </si>
  <si>
    <t>Dataset Showcase Workshop</t>
  </si>
  <si>
    <t>Workshop de Exibição de Conjuntos de Dados</t>
  </si>
  <si>
    <t>EAAAI</t>
  </si>
  <si>
    <t>International Conference on Engineering Applications and Advances of Artificial Intelligence</t>
  </si>
  <si>
    <t>Conferência Internacional sobre Aplicações de Engenharia e Avanços da Inteligência Artificial</t>
  </si>
  <si>
    <t>EACL</t>
  </si>
  <si>
    <t>Conference of the European Chapter of the Association for Computational Linguistics</t>
  </si>
  <si>
    <t>Conferência do Capítulo Europeu da Associação de Linguística Computacional</t>
  </si>
  <si>
    <t>EAIS</t>
  </si>
  <si>
    <t>IEEE International Conference on Evolving and Adaptive Intelligent Systems</t>
  </si>
  <si>
    <t>Conferência Internacional IEEE sobre Sistemas Inteligentes Evolutivos e Adaptativos</t>
  </si>
  <si>
    <t>EASE</t>
  </si>
  <si>
    <t>International Conference on Evaluation and Assessment in Software Engineering</t>
  </si>
  <si>
    <t>Conferência Internacional sobre Avaliação e Estimativa em Engenharia de Software</t>
  </si>
  <si>
    <t>EATIS</t>
  </si>
  <si>
    <t>Euro American Conference on Telematics and Information Systems</t>
  </si>
  <si>
    <t>Conferência Euro-Americana sobre Telemática e Sistemas de Informação</t>
  </si>
  <si>
    <t>EC-TEL</t>
  </si>
  <si>
    <t>European Conference on Technology Enhanced Learning</t>
  </si>
  <si>
    <t>Conferência Europeia sobre Aprendizagem Aprimorada por Tecnologia</t>
  </si>
  <si>
    <t>ECAI</t>
  </si>
  <si>
    <t>European Conference on Artificial Intelligence</t>
  </si>
  <si>
    <t>Conferência Europeia sobre Inteligência Artificial</t>
  </si>
  <si>
    <t>ECC</t>
  </si>
  <si>
    <t>European Control Conference</t>
  </si>
  <si>
    <t>Conferência Europeia de Controle</t>
  </si>
  <si>
    <t>ECCV</t>
  </si>
  <si>
    <t>European Conference on Computer Vision</t>
  </si>
  <si>
    <t>Conferência Europeia sobre Visão Computacional</t>
  </si>
  <si>
    <t>ECIS</t>
  </si>
  <si>
    <t>European Conference on Information Systems</t>
  </si>
  <si>
    <t>Conferência Europeia sobre Sistemas de Informação</t>
  </si>
  <si>
    <t>ECML</t>
  </si>
  <si>
    <t>European Conference on Machine Learning and Principles and Practice of Knowledge Discovery in Databases</t>
  </si>
  <si>
    <t>Conferência Europeia sobre Aprendizado de Máquina e Princípios e Prática de Descoberta de Conhecimento em Bancos de Dados</t>
  </si>
  <si>
    <t>ECMR</t>
  </si>
  <si>
    <t>European Conference on Mobile Robots</t>
  </si>
  <si>
    <t>Conferência Europeia sobre Robôs Móveis</t>
  </si>
  <si>
    <t>ECOOP</t>
  </si>
  <si>
    <t>European Conference on Object-Oriented Programming</t>
  </si>
  <si>
    <t>Conferência Europeia sobre Programação Orientada a Objetos</t>
  </si>
  <si>
    <t>ECSA</t>
  </si>
  <si>
    <t>European Conference on Software Architecture</t>
  </si>
  <si>
    <t>Conferência Europeia sobre Arquitetura de Software</t>
  </si>
  <si>
    <t>ECSCW</t>
  </si>
  <si>
    <t>European Conference on Computer Supported Cooperative Work</t>
  </si>
  <si>
    <t>Conferência Europeia sobre Trabalho Cooperativo Suportado por Computador</t>
  </si>
  <si>
    <t>ECSQARU</t>
  </si>
  <si>
    <t>European Conference on Symbolic and Quantitative Approaches to Reasoning and Uncertainty</t>
  </si>
  <si>
    <t>Conferência Europeia sobre Abordagens Simbólicas e Quantitativas para Raciocínio e Incerteza</t>
  </si>
  <si>
    <t>EDBT</t>
  </si>
  <si>
    <t>International Conference on Extending Database Technology</t>
  </si>
  <si>
    <t>Conferência Internacional sobre Extensão da Tecnologia de Banco de Dados</t>
  </si>
  <si>
    <t>EDCC</t>
  </si>
  <si>
    <t>European Dependable Computing Conference</t>
  </si>
  <si>
    <t>Conferência Europeia de Computação Confiável</t>
  </si>
  <si>
    <t>EDGE</t>
  </si>
  <si>
    <t>EEE International Conference on Edge Computing and Communications</t>
  </si>
  <si>
    <t>Conferência Internacional IEEE sobre Computação de Borda e Comunicações</t>
  </si>
  <si>
    <t>EDM</t>
  </si>
  <si>
    <t>International Conference on Educational Data Mining</t>
  </si>
  <si>
    <t>Conferência Internacional sobre Mineração de Dados Educacionais</t>
  </si>
  <si>
    <t>EDOC</t>
  </si>
  <si>
    <t>IEEE International Enterprise Distributed Object Computing Conference</t>
  </si>
  <si>
    <t>Conferência Internacional IEEE sobre Computação de Objetos Distribuídos Empresariais</t>
  </si>
  <si>
    <t>EDUCOMP</t>
  </si>
  <si>
    <t>Simpósio Brasileiro de Educação em Computação</t>
  </si>
  <si>
    <t>Brazilian Symposium on Computing Education</t>
  </si>
  <si>
    <t>EDUCON</t>
  </si>
  <si>
    <t>IEEE Global Engineering Education Conference</t>
  </si>
  <si>
    <t>Conferência IEEE de Educação em Engenharia Global</t>
  </si>
  <si>
    <t>EDULEARN</t>
  </si>
  <si>
    <t>International Conference on Education and New Learning Technologies</t>
  </si>
  <si>
    <t>Conferência Internacional sobre Educação e Novas Tecnologias de Aprendizagem</t>
  </si>
  <si>
    <t>EGOV</t>
  </si>
  <si>
    <t>International Conference on Electronic Government</t>
  </si>
  <si>
    <t>Conferência Internacional sobre Governo Eletrônico</t>
  </si>
  <si>
    <t>EGOVIS</t>
  </si>
  <si>
    <t>International Conference on Electronic Government and the Information Systems Perspective</t>
  </si>
  <si>
    <t>Conferência Internacional sobre Governo Eletrônico e a Perspectiva de Sistemas de Informação</t>
  </si>
  <si>
    <t>EMAS</t>
  </si>
  <si>
    <t>International Workshop on Engineering Multiagent Systems</t>
  </si>
  <si>
    <t>Workshop Internacional sobre Engenharia de Sistemas Multiagentes</t>
  </si>
  <si>
    <t>EMBC</t>
  </si>
  <si>
    <t>Annual International Conference of the IEEE Engineering in Medicine and Biology Society</t>
  </si>
  <si>
    <t>Conferência Internacional Anual da Sociedade de Engenharia em Medicina e Biologia IEEE</t>
  </si>
  <si>
    <t>EMBS</t>
  </si>
  <si>
    <t>IEEE-EMBS International Conference on Biomedical and Health Informatics</t>
  </si>
  <si>
    <t>Conferência Internacional IEEE-EMBS sobre Informática Biomédica e em Saúde</t>
  </si>
  <si>
    <t>EMO</t>
  </si>
  <si>
    <t>International Conference on Evolutionary Multi-Criterion Optimization</t>
  </si>
  <si>
    <t>Conferência Internacional sobre Otimização Evolutiva Multicritério</t>
  </si>
  <si>
    <t>ENANPAD</t>
  </si>
  <si>
    <t>Encontro Nacional da Associação Nacional de Pós-Graduação e Pesquisa em Administração</t>
  </si>
  <si>
    <t>National Meeting of the National Association of Graduate Studies and Research in Administration</t>
  </si>
  <si>
    <t>ENASE</t>
  </si>
  <si>
    <t>International Conference on Evaluation of Novel Approaches to Software Engineering</t>
  </si>
  <si>
    <t>Conferência Internacional sobre Avaliação de Novas Abordagens em Engenharia de Software</t>
  </si>
  <si>
    <t>ENIAC</t>
  </si>
  <si>
    <t>Encontro Nacional de Inteligencia Artificial e Computacional</t>
  </si>
  <si>
    <t>National Meeting on Artificial and Computational Intelligence</t>
  </si>
  <si>
    <t>EPIA</t>
  </si>
  <si>
    <t>Portuguese Conference on Artificial Intelligence</t>
  </si>
  <si>
    <t>Conferência Portuguesa sobre Inteligência Artificial</t>
  </si>
  <si>
    <t>ER</t>
  </si>
  <si>
    <t>International Conference on Conceptual Modeling</t>
  </si>
  <si>
    <t>Conferência Internacional sobre Modelagem Conceitual</t>
  </si>
  <si>
    <t>ESA</t>
  </si>
  <si>
    <t>European Symposium on Algorithms</t>
  </si>
  <si>
    <t>Simpósio Europeu sobre Algoritmos</t>
  </si>
  <si>
    <t>ESANN</t>
  </si>
  <si>
    <t>European Symposium on Artificial Neural Networks, Computational Intelligence and Machine Learning</t>
  </si>
  <si>
    <t>Simpósio Europeu sobre Redes Neurais Artificiais, Inteligência Computacional e Aprendizado de Máquina</t>
  </si>
  <si>
    <t>ESCIENCE</t>
  </si>
  <si>
    <t>IEEE International Conference on e-Science</t>
  </si>
  <si>
    <t>Conferência Internacional IEEE sobre e-Ciência</t>
  </si>
  <si>
    <t>ESEM</t>
  </si>
  <si>
    <t>ACM/IEEE International Symposium on Empirical Software Engineering and Measurement</t>
  </si>
  <si>
    <t>Simpósio Internacional ACM/IEEE sobre Engenharia de Software Empírica e Medição</t>
  </si>
  <si>
    <t>ESMARTA</t>
  </si>
  <si>
    <t>International Conference on Emerging Smart Technologies and Applications</t>
  </si>
  <si>
    <t>Conferência Internacional sobre Tecnologias Inteligentes Emergentes e Aplicações</t>
  </si>
  <si>
    <t>ETC</t>
  </si>
  <si>
    <t>Encontro de Teoria da Computação</t>
  </si>
  <si>
    <t>Meeting on Theory of Computation</t>
  </si>
  <si>
    <t>ETFA</t>
  </si>
  <si>
    <t>IEEE International Conference on Emerging Technologies and Factory Automation</t>
  </si>
  <si>
    <t>Conferência Internacional IEEE sobre Tecnologias Emergentes e Automação de Fábrica</t>
  </si>
  <si>
    <t>ETS</t>
  </si>
  <si>
    <t>IEEE European Test Symposium</t>
  </si>
  <si>
    <t>Simpósio Europeu de Testes IEEE</t>
  </si>
  <si>
    <t>EuCNC</t>
  </si>
  <si>
    <t>European Conference on Networks and Communications</t>
  </si>
  <si>
    <t>Conferência Europeia sobre Redes e Comunicações</t>
  </si>
  <si>
    <t>EURO</t>
  </si>
  <si>
    <t>European Conference on Operational Research</t>
  </si>
  <si>
    <t>Conferência Europeia de Pesquisa Operacional</t>
  </si>
  <si>
    <t>EUROCOMB</t>
  </si>
  <si>
    <t>European Conference on Combinatorics, Graph Theory and Applications</t>
  </si>
  <si>
    <t>Conferência Europeia sobre Combinatória, Teoria dos Grafos e Aplicações</t>
  </si>
  <si>
    <t>EUROPAR</t>
  </si>
  <si>
    <t>European Conference on Parallel Computing</t>
  </si>
  <si>
    <t>Conferência Europeia sobre Computação Paralela</t>
  </si>
  <si>
    <t>EuroPloP</t>
  </si>
  <si>
    <t>European Conference on Pattern Languages of Programs</t>
  </si>
  <si>
    <t>Conferência Europeia sobre Linguagens de Padrões de Programas</t>
  </si>
  <si>
    <t>EuroSPI</t>
  </si>
  <si>
    <t>European Conference on Software Process Improvement</t>
  </si>
  <si>
    <t>Conferência Europeia sobre Melhoria de Processo de Software</t>
  </si>
  <si>
    <t>EUROSYS</t>
  </si>
  <si>
    <t>European Conference on Computer Systems</t>
  </si>
  <si>
    <t>Conferência Europeia sobre Sistemas Computacionais</t>
  </si>
  <si>
    <t>EUSFLAT</t>
  </si>
  <si>
    <t>Conference of the European Society for Fuzzy Logic and Technology</t>
  </si>
  <si>
    <t>Conferência da Sociedade Europeia de Lógica Fuzzy e Tecnologia</t>
  </si>
  <si>
    <t>EUSIPCO</t>
  </si>
  <si>
    <t>European Signal Processing Conference</t>
  </si>
  <si>
    <t>Conferência Europeia de Processamento de Sinais</t>
  </si>
  <si>
    <t>EUVIP</t>
  </si>
  <si>
    <t>European Workshop on Visual Information Processing</t>
  </si>
  <si>
    <t>Workshop Europeu sobre Processamento de Informação Visual</t>
  </si>
  <si>
    <t>EVOAPPLICATIONS</t>
  </si>
  <si>
    <t>European Conference on the Applications of Evolutionary Computation</t>
  </si>
  <si>
    <t>Conferência Europeia sobre Aplicações de Computação Evolutiva</t>
  </si>
  <si>
    <t>EVOCOP</t>
  </si>
  <si>
    <t>European Conference on Evolutionary Computation in Combinatorial Optimization</t>
  </si>
  <si>
    <t>Conferência Europeia sobre Computação Evolutiva em Otimização Combinatória</t>
  </si>
  <si>
    <t>FACCT</t>
  </si>
  <si>
    <t>ACM Conference on Fairness, Accountability, and Transparency</t>
  </si>
  <si>
    <t>Conferência ACM sobre Justiça, Responsabilidade e Transparência</t>
  </si>
  <si>
    <t>FACS</t>
  </si>
  <si>
    <t>International Conference on Formal Aspects of Component Software</t>
  </si>
  <si>
    <t>Conferência Internacional sobre Aspectos Formais de Software de Componentes</t>
  </si>
  <si>
    <t>FASE</t>
  </si>
  <si>
    <t>International Conference on Fundamental Approaches to Software Engineering</t>
  </si>
  <si>
    <t>Conferência Internacional sobre Abordagens Fundamentais para Engenharia de Software</t>
  </si>
  <si>
    <t>FAST</t>
  </si>
  <si>
    <t>USENIX Conference on File and Storage Technologies</t>
  </si>
  <si>
    <t>Conferência USENIX sobre Tecnologias de Arquivo e Armazenamento</t>
  </si>
  <si>
    <t>FC</t>
  </si>
  <si>
    <t>International Conference on Financial Cryptography and Data Security</t>
  </si>
  <si>
    <t>Conferência Internacional sobre Criptografia Financeira e Segurança de Dados</t>
  </si>
  <si>
    <t>FCT</t>
  </si>
  <si>
    <t>International Symposium on Fundamentals of Computation Theory</t>
  </si>
  <si>
    <t>Simpósio Internacional sobre Teoria Fundamental da Computação</t>
  </si>
  <si>
    <t>FDG</t>
  </si>
  <si>
    <t>International Conference on Foundations of Digital Games</t>
  </si>
  <si>
    <t>Conferência Internacional sobre Fundamentos de Jogos Digitais</t>
  </si>
  <si>
    <t>FEDCSIS</t>
  </si>
  <si>
    <t>Federated Conference on Computer Science and Information Systems</t>
  </si>
  <si>
    <t>Conferência Federada de Ciência da Computação e Sistemas de Informação</t>
  </si>
  <si>
    <t>FGR</t>
  </si>
  <si>
    <t>IEEE International Conference on Automatic Face and Gesture Recognition</t>
  </si>
  <si>
    <t>Conferência Internacional IEEE sobre Reconhecimento Automático de Face e Gestos</t>
  </si>
  <si>
    <t>FiCloud</t>
  </si>
  <si>
    <t>International Conference on Future Internet of Things and Cloud</t>
  </si>
  <si>
    <t>Conferência Internacional sobre Futura Internet das Coisas e Nuvem</t>
  </si>
  <si>
    <t>FIE</t>
  </si>
  <si>
    <t>IEEE Frontiers in Education Conference</t>
  </si>
  <si>
    <t>Conferência IEEE de Fronteiras na Educação</t>
  </si>
  <si>
    <t>FIT</t>
  </si>
  <si>
    <t>International Conference on Forntiers of Information Technology</t>
  </si>
  <si>
    <t>Conferência Internacional sobre Fronteiras da Tecnologia da Informação</t>
  </si>
  <si>
    <t>FLAIRS</t>
  </si>
  <si>
    <t>International Florida Artificial Intelligence Conference</t>
  </si>
  <si>
    <t>Conferência Internacional de Inteligência Artificial da Flórida</t>
  </si>
  <si>
    <t>FMCAD</t>
  </si>
  <si>
    <t>International Conference on Formal Methods in Computer-Aided Design</t>
  </si>
  <si>
    <t>Conferência Internacional sobre Métodos Formais em Design Auxiliado por Computador</t>
  </si>
  <si>
    <t>FOIS</t>
  </si>
  <si>
    <t>International Conference on Formal Ontology in Information Systems</t>
  </si>
  <si>
    <t>Conferência Internacional sobre Ontologia Formal em Sistemas de Informação</t>
  </si>
  <si>
    <t>FOSSACS</t>
  </si>
  <si>
    <t>International Conference on Foundations of Software Science and Computation Structures</t>
  </si>
  <si>
    <t>Conferência Internacional sobre Fundamentos da Ciência de Software e Estruturas de Computação</t>
  </si>
  <si>
    <t>FSCD</t>
  </si>
  <si>
    <t>International Conference on Formal Structures for Computation and Deduction</t>
  </si>
  <si>
    <t>Conferência Internacional sobre Estruturas Formais para Computação e Dedução</t>
  </si>
  <si>
    <t>FSE/ESEC</t>
  </si>
  <si>
    <t>Joint Meeting on European Software Engineering Conference and Foundations of Software Engineering</t>
  </si>
  <si>
    <t>Reunião Conjunta sobre Conferência Europeia de Engenharia de Software e Fundamentos de Engenharia de Software</t>
  </si>
  <si>
    <t>FSEN</t>
  </si>
  <si>
    <t>International Conference on Fundamentals of Software Engineering</t>
  </si>
  <si>
    <t>Conferência Internacional sobre Fundamentos da Engenharia de Software</t>
  </si>
  <si>
    <t>FTC</t>
  </si>
  <si>
    <t>Future Technologies Conference</t>
  </si>
  <si>
    <t>Conferência de Tecnologias Futuras</t>
  </si>
  <si>
    <t>FUSION</t>
  </si>
  <si>
    <t>International Conference on Information Fusion</t>
  </si>
  <si>
    <t>Conferência Internacional sobre Fusão de Informações</t>
  </si>
  <si>
    <t>FUZZ</t>
  </si>
  <si>
    <t>IEEE International Conference on Fuzzy Systems</t>
  </si>
  <si>
    <t>Conferência Internacional IEEE sobre Sistemas Fuzzy</t>
  </si>
  <si>
    <t>GAS</t>
  </si>
  <si>
    <t>International Workshop on Games and Software Engineering</t>
  </si>
  <si>
    <t>Workshop Internacional sobre Jogos e Engenharia de Software</t>
  </si>
  <si>
    <t>GECCO</t>
  </si>
  <si>
    <t>Genetic and Evolutionary Computation Conference</t>
  </si>
  <si>
    <t>Conferência de Computação Genética e Evolutiva</t>
  </si>
  <si>
    <t>GECON</t>
  </si>
  <si>
    <t>International Conference on Economics of Grids, Clouds, Systems and Services</t>
  </si>
  <si>
    <t>Conferência Internacional sobre Economia de Grades, Nuvens, Sistemas e Serviços</t>
  </si>
  <si>
    <t>GEM</t>
  </si>
  <si>
    <t>IEEE Games, Entertainment, Media Conference</t>
  </si>
  <si>
    <t>Conferência IEEE de Jogos, Entretenimento e Mídia</t>
  </si>
  <si>
    <t>GEOINFO</t>
  </si>
  <si>
    <t>Brazilian Symposium on GeoInformatics</t>
  </si>
  <si>
    <t>Simpósio Brasileiro de Geoinformática</t>
  </si>
  <si>
    <t>GEOPROCESSING-IARIA</t>
  </si>
  <si>
    <t>IARIA International Conference on Advanced Geographic Information Systems, Applications, and Services</t>
  </si>
  <si>
    <t>Conferência Internacional IARIA sobre Sistemas Avançados de Informação Geográfica, Aplicações e Serviços</t>
  </si>
  <si>
    <t>GIIS</t>
  </si>
  <si>
    <t>Global Information Infrastructure and Networking Symposium</t>
  </si>
  <si>
    <t>Simpósio Global de Infraestrutura de Informação e Redes</t>
  </si>
  <si>
    <t>GLOBECOM</t>
  </si>
  <si>
    <t>IEEE Global Communications Conference</t>
  </si>
  <si>
    <t>Conferência Global de Comunicações IEEE</t>
  </si>
  <si>
    <t>GPCE</t>
  </si>
  <si>
    <t>ACM International Conference on Generative Programming: Concepts and Experiences</t>
  </si>
  <si>
    <t>Conferência Internacional ACM sobre Programação Generativa: Conceitos e Experiências</t>
  </si>
  <si>
    <t>GRAPP</t>
  </si>
  <si>
    <t>International Conference on Computer Graphics Theory and Applications</t>
  </si>
  <si>
    <t>Conferência Internacional sobre Teoria e Aplicações de Computação Gráfica</t>
  </si>
  <si>
    <t>GROUP</t>
  </si>
  <si>
    <t>International Conference on Supporting Group Work</t>
  </si>
  <si>
    <t>Conferência Internacional sobre Apoio ao Trabalho em Grupo</t>
  </si>
  <si>
    <t>HAIS</t>
  </si>
  <si>
    <t>International Conference on Hybrid Artificial Intelligence Systems</t>
  </si>
  <si>
    <t>Conferência Internacional sobre Sistemas Híbridos de Inteligência Artificial</t>
  </si>
  <si>
    <t>HCSE</t>
  </si>
  <si>
    <t>International Conference on Human-Centered Software Engineering</t>
  </si>
  <si>
    <t>Conferência Internacional sobre Engenharia de Software Centrada no Ser Humano</t>
  </si>
  <si>
    <t>HEALTHCOM</t>
  </si>
  <si>
    <t>IEEE International Conference on E-health Networking, Application &amp; Services</t>
  </si>
  <si>
    <t>Conferência Internacional IEEE sobre Redes, Aplicações e Serviços de Saúde Eletrônica</t>
  </si>
  <si>
    <t>HEALTHINF</t>
  </si>
  <si>
    <t>International Conference on Health Informatics</t>
  </si>
  <si>
    <t>Conferência Internacional sobre Informática em Saúde</t>
  </si>
  <si>
    <t>HICSS</t>
  </si>
  <si>
    <t>Hawaii International Conference on System Sciences</t>
  </si>
  <si>
    <t>Conferência Internacional de Ciências de Sistemas do Havaí</t>
  </si>
  <si>
    <t>HIMS</t>
  </si>
  <si>
    <t>International Conference on Health Informatics and Medical Systems</t>
  </si>
  <si>
    <t>Conferência Internacional sobre Informática em Saúde e Sistemas Médicos</t>
  </si>
  <si>
    <t>HIPC</t>
  </si>
  <si>
    <t>IEEE International Conference on High Performance Computing, Data and Analytics</t>
  </si>
  <si>
    <t>Conferência Internacional IEEE sobre Computação de Alto Desempenho, Dados e Análise</t>
  </si>
  <si>
    <t>HIS</t>
  </si>
  <si>
    <t>International Conference on Hybrid Intelligent Systems</t>
  </si>
  <si>
    <t>Conferência Internacional sobre Sistemas Inteligentes Híbridos</t>
  </si>
  <si>
    <t>HPCS</t>
  </si>
  <si>
    <t>International Conference on High Performance Computing &amp; Simulation</t>
  </si>
  <si>
    <t>Conferência Internacional sobre Computação de Alto Desempenho e Simulação</t>
  </si>
  <si>
    <t>HS</t>
  </si>
  <si>
    <t>Haskell Symposium</t>
  </si>
  <si>
    <t>Simpósio Haskell</t>
  </si>
  <si>
    <t>HT</t>
  </si>
  <si>
    <t>ACM Conference on Hypertext and Social Media</t>
  </si>
  <si>
    <t>Conferência ACM sobre Hipertexto e Mídia Social</t>
  </si>
  <si>
    <t>HUMANOIDS</t>
  </si>
  <si>
    <t>IEEE RAS International Conference on Humanoid Robot</t>
  </si>
  <si>
    <t>Conferência Internacional IEEE RAS sobre Robôs Humanoides</t>
  </si>
  <si>
    <t>I2MTC</t>
  </si>
  <si>
    <t>IEEE International Instrumentation and Measurement Technology Conference</t>
  </si>
  <si>
    <t>Conferência Internacional IEEE de Tecnologia de Instrumentação e Medição</t>
  </si>
  <si>
    <t>I3E</t>
  </si>
  <si>
    <t>IFIP International Conference on e-Business, e-Services, and e-Society</t>
  </si>
  <si>
    <t>Conferência Internacional IFIP sobre e-Business, e-Serviços e e-Sociedade</t>
  </si>
  <si>
    <t>IAS</t>
  </si>
  <si>
    <t>Industry Applications Society Annual Meeting</t>
  </si>
  <si>
    <t>Reunião Anual da Sociedade de Aplicações Industriais</t>
  </si>
  <si>
    <t>IBERAMIA</t>
  </si>
  <si>
    <t>Ibero-American Conference on Artificial Intelligence</t>
  </si>
  <si>
    <t>Conferência Ibero-Americana sobre Inteligência Artificial</t>
  </si>
  <si>
    <t>IBERCHIP</t>
  </si>
  <si>
    <t>Workshop Iberchip</t>
  </si>
  <si>
    <t>Iberchip Workshop</t>
  </si>
  <si>
    <t>IBERSPEECH</t>
  </si>
  <si>
    <t>Iberspeech Conference</t>
  </si>
  <si>
    <t>Conferência Iberspeech</t>
  </si>
  <si>
    <t>IBPRIA</t>
  </si>
  <si>
    <t>Iberian Conference on Pattern Recognition and Image Analysis</t>
  </si>
  <si>
    <t>Conferência Ibérica sobre Reconhecimento de Padrões e Análise de Imagem</t>
  </si>
  <si>
    <t>IC2E</t>
  </si>
  <si>
    <t>IEEE International Conference on Cloud Engineering</t>
  </si>
  <si>
    <t>Conferência Internacional IEEE sobre Engenharia de Nuvem</t>
  </si>
  <si>
    <t>IC3K</t>
  </si>
  <si>
    <t>International Joint Conference on Knowledge Discovery, Knowledge Engineering and Knowledge Management</t>
  </si>
  <si>
    <t>Conferência Internacional Conjunta sobre Descoberta de Conhecimento, Engenharia de Conhecimento e Gestão de Conhecimento</t>
  </si>
  <si>
    <t>ICAART</t>
  </si>
  <si>
    <t>International Conference on Agents and Artificial Intelligence</t>
  </si>
  <si>
    <t>Conferência Internacional sobre Agentes e Inteligência Artificial</t>
  </si>
  <si>
    <t>ICAI</t>
  </si>
  <si>
    <t>International Conference on Applied Informatics</t>
  </si>
  <si>
    <t>Conferência Internacional sobre Informática Aplicada</t>
  </si>
  <si>
    <t>ICAISC</t>
  </si>
  <si>
    <t>International Conference on Artificial Intelligence and Soft Computing</t>
  </si>
  <si>
    <t>Conferência Internacional sobre Inteligência Artificial e Computação Suave</t>
  </si>
  <si>
    <t>ICAIWC</t>
  </si>
  <si>
    <t>International Conference on Artificial Intelligence</t>
  </si>
  <si>
    <t>Conferência Internacional sobre Inteligência Artificial</t>
  </si>
  <si>
    <t>ICALP</t>
  </si>
  <si>
    <t>International Colloquium on Automata, Languages, and Programming</t>
  </si>
  <si>
    <t>Colóquio Internacional sobre Autômatos, Linguagens e Programação</t>
  </si>
  <si>
    <t>ICALT</t>
  </si>
  <si>
    <t>IEEE International Conference on Advanced Learning Technologies</t>
  </si>
  <si>
    <t>Conferência Internacional IEEE sobre Tecnologias Avançadas de Aprendizagem</t>
  </si>
  <si>
    <t>ICANN</t>
  </si>
  <si>
    <t>International Conference on Artificial Neural Networks</t>
  </si>
  <si>
    <t>Conferência Internacional sobre Redes Neurais Artificiais</t>
  </si>
  <si>
    <t>ICAPS</t>
  </si>
  <si>
    <t>International Conference on Automated Planning and Scheduling</t>
  </si>
  <si>
    <t>Conferência Internacional sobre Planejamento e Agendamento Automatizado</t>
  </si>
  <si>
    <t>ICAR</t>
  </si>
  <si>
    <t>International Conference on Advanced Robotics</t>
  </si>
  <si>
    <t>Conferência Internacional sobre Robótica Avançada</t>
  </si>
  <si>
    <t>ICARCV</t>
  </si>
  <si>
    <t>International Conference on Control, Automation, Robotics and Vision</t>
  </si>
  <si>
    <t>Conferência Internacional sobre Controle, Automação, Robótica e Visão</t>
  </si>
  <si>
    <t>ICASSP</t>
  </si>
  <si>
    <t>IEEE International Conference on Acoustics, Speech and Signal Processing</t>
  </si>
  <si>
    <t>Conferência Internacional IEEE sobre Acústica, Fala e Processamento de Sinais</t>
  </si>
  <si>
    <t>ICB</t>
  </si>
  <si>
    <t>International Conference on Biometrics</t>
  </si>
  <si>
    <t>Conferência Internacional sobre Biometria</t>
  </si>
  <si>
    <t>ICBC</t>
  </si>
  <si>
    <t>IEEE International Conference on Blockchain and Cryptocurrency</t>
  </si>
  <si>
    <t>Conferência Internacional IEEE sobre Blockchain e Criptomoeda</t>
  </si>
  <si>
    <t>ICC</t>
  </si>
  <si>
    <t>International Conference on Communications</t>
  </si>
  <si>
    <t>Conferência Internacional sobre Comunicações</t>
  </si>
  <si>
    <t>ICC-E</t>
  </si>
  <si>
    <t>International Conference on Communications Companion</t>
  </si>
  <si>
    <t>Conferência Internacional sobre Comunicações (Complementar)</t>
  </si>
  <si>
    <t>ICCABS</t>
  </si>
  <si>
    <t>International Conference on Computational Advances in Bio and Medical Sciences</t>
  </si>
  <si>
    <t>Conferência Internacional sobre Avanços Computacionais em Ciências Bio e Médicas</t>
  </si>
  <si>
    <t>ICCAR</t>
  </si>
  <si>
    <t>International Conference on Control, Automation and Robotics</t>
  </si>
  <si>
    <t>Conferência Internacional sobre Controle, Automação e Robótica</t>
  </si>
  <si>
    <t>ICCCN</t>
  </si>
  <si>
    <t>International Conference on Computer Communications and Networks</t>
  </si>
  <si>
    <t>Conferência Internacional sobre Comunicações e Redes de Computadores</t>
  </si>
  <si>
    <t>ICCD</t>
  </si>
  <si>
    <t>International Conference on Computer Design</t>
  </si>
  <si>
    <t>Conferência Internacional sobre Design de Computadores</t>
  </si>
  <si>
    <t>ICCE-EDU</t>
  </si>
  <si>
    <t>International Conference on Computers in Education</t>
  </si>
  <si>
    <t>Conferência Internacional sobre Computadores na Educação</t>
  </si>
  <si>
    <t>ICCHP</t>
  </si>
  <si>
    <t>International Conference on Computers Helping People with Special Needs</t>
  </si>
  <si>
    <t>Conferência Internacional sobre Computadores Ajudando Pessoas com Necessidades Especiais</t>
  </si>
  <si>
    <t>ICCL2</t>
  </si>
  <si>
    <t>International Conference on Computational Logistics</t>
  </si>
  <si>
    <t>Conferência Internacional sobre Logística Computacional</t>
  </si>
  <si>
    <t>ICCP</t>
  </si>
  <si>
    <t>IEEE International Conference on Intelligent Computer Communication and Processing</t>
  </si>
  <si>
    <t>Conferência Internacional IEEE sobre Comunicação e Processamento Inteligente de Computadores</t>
  </si>
  <si>
    <t>ICCS</t>
  </si>
  <si>
    <t>International Conference on Computational Science</t>
  </si>
  <si>
    <t>Conferência Internacional sobre Ciência Computacional</t>
  </si>
  <si>
    <t>ICCSA</t>
  </si>
  <si>
    <t>International Conference on Computational Science and Its Applications</t>
  </si>
  <si>
    <t>Conferência Internacional sobre Ciência Computacional e suas Aplicações</t>
  </si>
  <si>
    <t>ICCV</t>
  </si>
  <si>
    <t>IEEE International Conference on Computer Vision</t>
  </si>
  <si>
    <t>Conferência Internacional IEEE sobre Visão Computacional</t>
  </si>
  <si>
    <t>ICCV-E</t>
  </si>
  <si>
    <t>IEEE International Conference on Computer Vision Companion</t>
  </si>
  <si>
    <t>Conferência Internacional IEEE sobre Visão Computacional (Complementar)</t>
  </si>
  <si>
    <t>ICDAR</t>
  </si>
  <si>
    <t>International Conference on Document Analysis and Recognition</t>
  </si>
  <si>
    <t>Conferência Internacional sobre Análise e Reconhecimento de Documentos</t>
  </si>
  <si>
    <t>ICDCS</t>
  </si>
  <si>
    <t>International Conference on Distributed Computing Systems</t>
  </si>
  <si>
    <t>Conferência Internacional sobre Sistemas de Computação Distribuída</t>
  </si>
  <si>
    <t>ICDE</t>
  </si>
  <si>
    <t>IEEE International Conference on Data Engineering</t>
  </si>
  <si>
    <t>Conferência Internacional IEEE sobre Engenharia de Dados</t>
  </si>
  <si>
    <t>ICDIP</t>
  </si>
  <si>
    <t>International Conference on Digital Image Processing</t>
  </si>
  <si>
    <t>Conferência Internacional sobre Processamento Digital de Imagens</t>
  </si>
  <si>
    <t>ICDM</t>
  </si>
  <si>
    <t>IEEE International Conference on Data Mining</t>
  </si>
  <si>
    <t>Conferência Internacional IEEE sobre Mineração de Dados</t>
  </si>
  <si>
    <t>ICEC</t>
  </si>
  <si>
    <t>IFIP International Conference on Entertainment Computing</t>
  </si>
  <si>
    <t>Conferência Internacional IFIP sobre Computação de Entretenimento</t>
  </si>
  <si>
    <t>ICECS</t>
  </si>
  <si>
    <t>IEEE International Conference on Electronics, Circuits and Systems</t>
  </si>
  <si>
    <t>Conferência Internacional IEEE sobre Eletrônica, Circuitos e Sistemas</t>
  </si>
  <si>
    <t>ICEGOV</t>
  </si>
  <si>
    <t>International Conference on Theory and Practice of Eletronic Governance</t>
  </si>
  <si>
    <t>Conferência Internacional sobre Teoria e Prática da Governança Eletrônica</t>
  </si>
  <si>
    <t>ICEIS</t>
  </si>
  <si>
    <t>International Conference on Enterprise Information Systems</t>
  </si>
  <si>
    <t>Conferência Internacional sobre Sistemas de Informação Empresarial</t>
  </si>
  <si>
    <t>ICFCA</t>
  </si>
  <si>
    <t>International Conference on Formal Concept Analysis</t>
  </si>
  <si>
    <t>Conferência Internacional sobre Análise Formal de Conceitos</t>
  </si>
  <si>
    <t>ICFEM</t>
  </si>
  <si>
    <t>International Conference on Formal Engineering Methods</t>
  </si>
  <si>
    <t>Conferência Internacional sobre Métodos de Engenharia Formal</t>
  </si>
  <si>
    <t>ICGI</t>
  </si>
  <si>
    <t>International Conference on Grammatical Inference</t>
  </si>
  <si>
    <t>Conferência Internacional sobre Inferência Gramatical</t>
  </si>
  <si>
    <t>ICGJ</t>
  </si>
  <si>
    <t>International Conference on Game Jams, Hackathons, and Game Creation Events</t>
  </si>
  <si>
    <t>Conferência Internacional sobre Game Jams, Hackathons e Eventos de Criação de Jogos</t>
  </si>
  <si>
    <t>ICHI</t>
  </si>
  <si>
    <t>IEEE International Conference on Healthcare Informatics</t>
  </si>
  <si>
    <t>Conferência Internacional IEEE sobre Informática em Saúde</t>
  </si>
  <si>
    <t>ICIAP</t>
  </si>
  <si>
    <t>International Conference on Image Analysis and Processing</t>
  </si>
  <si>
    <t>Conferência Internacional sobre Análise e Processamento de Imagens</t>
  </si>
  <si>
    <t>ICIAR</t>
  </si>
  <si>
    <t>International Conference on Image Analysis and Recognition</t>
  </si>
  <si>
    <t>Conferência Internacional sobre Análise e Reconhecimento de Imagens</t>
  </si>
  <si>
    <t>ICICS</t>
  </si>
  <si>
    <t>International Conference on Information and Communications Security</t>
  </si>
  <si>
    <t>Conferência Internacional sobre Segurança de Informações e Comunicações</t>
  </si>
  <si>
    <t>ICINCO</t>
  </si>
  <si>
    <t>International Conference on Informatics in Control, Automation and Robotics</t>
  </si>
  <si>
    <t>Conferência Internacional sobre Informática em Controle, Automação e Robótica</t>
  </si>
  <si>
    <t>ICIOT</t>
  </si>
  <si>
    <t>International Conference on the Internet of Things</t>
  </si>
  <si>
    <t>Conferência Internacional sobre a Internet das Coisas</t>
  </si>
  <si>
    <t>ICIP</t>
  </si>
  <si>
    <t>IEEE International Conference on Image Processing</t>
  </si>
  <si>
    <t>Conferência Internacional IEEE sobre Processamento de Imagens</t>
  </si>
  <si>
    <t>ICISS</t>
  </si>
  <si>
    <t>International Conference on Information Systems Security</t>
  </si>
  <si>
    <t>Conferência Internacional sobre Segurança de Sistemas de Informação</t>
  </si>
  <si>
    <t>ICIT</t>
  </si>
  <si>
    <t>IEEE International Conference on Industrial Technology</t>
  </si>
  <si>
    <t>Conferência Internacional IEEE sobre Tecnologia Industrial</t>
  </si>
  <si>
    <t>ICIT&amp;S</t>
  </si>
  <si>
    <t>International Conference on Information Technology &amp; Systems</t>
  </si>
  <si>
    <t>Conferência Internacional sobre Tecnologia e Sistemas de Informação</t>
  </si>
  <si>
    <t>ICITE</t>
  </si>
  <si>
    <t>International Conference on Information Technology and Education</t>
  </si>
  <si>
    <t>Conferência Internacional sobre Tecnologia da Informação e Educação</t>
  </si>
  <si>
    <t>ICITS</t>
  </si>
  <si>
    <t>International Conference on Information Theoretic Security</t>
  </si>
  <si>
    <t>Conferência Internacional sobre Segurança Teórica da Informação</t>
  </si>
  <si>
    <t>ICIVC</t>
  </si>
  <si>
    <t>International Conference on Image, Vision and Computing</t>
  </si>
  <si>
    <t>Conferência Internacional sobre Imagem, Visão e Computação</t>
  </si>
  <si>
    <t>ICKG</t>
  </si>
  <si>
    <t>IEEE International Conference on Knowledge Graph</t>
  </si>
  <si>
    <t>Conferência Internacional IEEE sobre Grafos de Conhecimento</t>
  </si>
  <si>
    <t>ICL</t>
  </si>
  <si>
    <t>International Conference on Interactive Collaborative Learning</t>
  </si>
  <si>
    <t>Conferência Internacional sobre Aprendizagem Colaborativa Interativa</t>
  </si>
  <si>
    <t>ICLR</t>
  </si>
  <si>
    <t>International Conference on Learning Representations</t>
  </si>
  <si>
    <t>Conferência Internacional sobre Representações de Aprendizagem</t>
  </si>
  <si>
    <t>ICMC</t>
  </si>
  <si>
    <t>International Computer Music Conference</t>
  </si>
  <si>
    <t>Conferência Internacional de Música Computacional</t>
  </si>
  <si>
    <t>ICME-E</t>
  </si>
  <si>
    <t>IEEE International Conference on Multimedia and Expo Companion</t>
  </si>
  <si>
    <t>Conferência Internacional IEEE sobre Multimídia e Exposição (Complementar)</t>
  </si>
  <si>
    <t>ICML</t>
  </si>
  <si>
    <t>International Conference on Machine Learning</t>
  </si>
  <si>
    <t>Conferência Internacional sobre Aprendizado de Máquina</t>
  </si>
  <si>
    <t>ICMLA</t>
  </si>
  <si>
    <t>IEEE International Conference on Machine Learning and Applications</t>
  </si>
  <si>
    <t>Conferência Internacional IEEE sobre Aprendizado de Máquina e Aplicações</t>
  </si>
  <si>
    <t>ICMLC</t>
  </si>
  <si>
    <t>International Conference on Machine Learning and Computing</t>
  </si>
  <si>
    <t>Conferência Internacional sobre Aprendizado de Máquina e Computação</t>
  </si>
  <si>
    <t>ICMR</t>
  </si>
  <si>
    <t>ACM International Conference on Multimedia Retrieval</t>
  </si>
  <si>
    <t>Conferência Internacional ACM sobre Recuperação Multimídia</t>
  </si>
  <si>
    <t>ICNC</t>
  </si>
  <si>
    <t>International Conference on Computing, Networking and Communications</t>
  </si>
  <si>
    <t>Conferência Internacional sobre Computação, Redes e Comunicações</t>
  </si>
  <si>
    <t>ICNSC</t>
  </si>
  <si>
    <t>IEEE International Conference on Networking, Sensing and Control</t>
  </si>
  <si>
    <t>Conferência Internacional IEEE sobre Redes, Sensores e Controle</t>
  </si>
  <si>
    <t>ICOIN</t>
  </si>
  <si>
    <t>International Conference on Information Networking</t>
  </si>
  <si>
    <t>Conferência Internacional sobre Redes de Informação</t>
  </si>
  <si>
    <t>ICOMP</t>
  </si>
  <si>
    <t>International Conference on Internet Computing and Internet of Things</t>
  </si>
  <si>
    <t>Conferência Internacional sobre Computação na Internet e Internet das Coisas</t>
  </si>
  <si>
    <t>ICONIP</t>
  </si>
  <si>
    <t>International Conference on Neural Information Processing</t>
  </si>
  <si>
    <t>Conferência Internacional sobre Processamento de Informação Neural</t>
  </si>
  <si>
    <t>ICPADS</t>
  </si>
  <si>
    <t>International Conference on Parallel and Distributed Systems</t>
  </si>
  <si>
    <t>Conferência Internacional sobre Sistemas Paralelos e Distribuídos</t>
  </si>
  <si>
    <t>ICPC</t>
  </si>
  <si>
    <t>International Conference on Program Comprehension</t>
  </si>
  <si>
    <t>Conferência Internacional sobre Compreensão de Programas</t>
  </si>
  <si>
    <t>ICPE</t>
  </si>
  <si>
    <t>International Conference on Performance Engineering</t>
  </si>
  <si>
    <t>Conferência Internacional sobre Engenharia de Desempenho</t>
  </si>
  <si>
    <t>ICPP</t>
  </si>
  <si>
    <t>International Conference on Parallel Processing</t>
  </si>
  <si>
    <t>Conferência Internacional sobre Processamento Paralelo</t>
  </si>
  <si>
    <t>ICPR</t>
  </si>
  <si>
    <t>International Conference on Pattern Recognition</t>
  </si>
  <si>
    <t>Conferência Internacional sobre Reconhecimento de Padrões</t>
  </si>
  <si>
    <t>ICPRAM</t>
  </si>
  <si>
    <t>International Conference on Pattern Recognition Applications and Methods</t>
  </si>
  <si>
    <t>Conferência Internacional sobre Aplicações e Métodos de Reconhecimento de Padrões</t>
  </si>
  <si>
    <t>ICRA</t>
  </si>
  <si>
    <t>IEEE International Conference on Robotics and Automation</t>
  </si>
  <si>
    <t>Conferência Internacional IEEE sobre Robótica e Automação</t>
  </si>
  <si>
    <t>ICRAE</t>
  </si>
  <si>
    <t>International Conference on Robotics and Automation Engineering</t>
  </si>
  <si>
    <t>Conferência Internacional sobre Engenharia de Robótica e Automação</t>
  </si>
  <si>
    <t>ICS</t>
  </si>
  <si>
    <t>International Conference on Supercomputing</t>
  </si>
  <si>
    <t>Conferência Internacional sobre Supercomputação</t>
  </si>
  <si>
    <t>ICSA</t>
  </si>
  <si>
    <t>International Conference on Software Architecture</t>
  </si>
  <si>
    <t>Conferência Internacional sobre Arquitetura de Software</t>
  </si>
  <si>
    <t>ICSC</t>
  </si>
  <si>
    <t>International Conference on Semantic Computing</t>
  </si>
  <si>
    <t>Conferência Internacional sobre Computação Semântica</t>
  </si>
  <si>
    <t>ICSE</t>
  </si>
  <si>
    <t>International Conference on Software Engineering</t>
  </si>
  <si>
    <t>Conferência Internacional sobre Engenharia de Software</t>
  </si>
  <si>
    <t>ICSE-E</t>
  </si>
  <si>
    <t>International Conference on Software Engineering Companion</t>
  </si>
  <si>
    <t>Conferência Internacional sobre Engenharia de Software (Complementar)</t>
  </si>
  <si>
    <t>ICSE-NIER</t>
  </si>
  <si>
    <t>ACM International Conference on Software Engineering: New Ideas and Emerging Results</t>
  </si>
  <si>
    <t>Conferência Internacional ACM sobre Engenharia de Software: Novas Ideias e Resultados Emergentes</t>
  </si>
  <si>
    <t>ICSE-SEET</t>
  </si>
  <si>
    <t>ACM International Conference on Software Engineering: Software Engineering Education and Training</t>
  </si>
  <si>
    <t>Conferência Internacional ACM sobre Engenharia de Software: Educação e Treinamento em Engenharia de Software</t>
  </si>
  <si>
    <t>ICSE-SEIP</t>
  </si>
  <si>
    <t>ACM International Conference on Software Engineering: Software Engineering in Practice</t>
  </si>
  <si>
    <t>Conferência Internacional ACM sobre Engenharia de Software: Engenharia de Software na Prática</t>
  </si>
  <si>
    <t>ICSE-SEIS</t>
  </si>
  <si>
    <t>International Conference on Software Engineering: Software Engineering in Society</t>
  </si>
  <si>
    <t>Conferência Internacional sobre Engenharia de Software: Engenharia de Software na Sociedade</t>
  </si>
  <si>
    <t>ICSESS</t>
  </si>
  <si>
    <t>International Conference on Software Engineering and Service Science</t>
  </si>
  <si>
    <t>Conferência Internacional sobre Engenharia de Software e Ciência de Serviços</t>
  </si>
  <si>
    <t>ICSI</t>
  </si>
  <si>
    <t>International Conference on Swarm Intelligence</t>
  </si>
  <si>
    <t>Conferência Internacional sobre Inteligência de Enxame</t>
  </si>
  <si>
    <t>ICSME</t>
  </si>
  <si>
    <t>IEEE International Conference on Software Maintenance and Evolution</t>
  </si>
  <si>
    <t>Conferência Internacional IEEE sobre Manutenção e Evolução de Software</t>
  </si>
  <si>
    <t>ICSOB</t>
  </si>
  <si>
    <t>International Conference on Software Business</t>
  </si>
  <si>
    <t>Conferência Internacional sobre Negócios de Software</t>
  </si>
  <si>
    <t>ICSOFT</t>
  </si>
  <si>
    <t>International Conference on Software Technologies</t>
  </si>
  <si>
    <t>Conferência Internacional sobre Tecnologias de Software</t>
  </si>
  <si>
    <t>ICSSP</t>
  </si>
  <si>
    <t>International Conference on Software and Systems Process</t>
  </si>
  <si>
    <t>Conferência Internacional sobre Processo de Software e Sistemas</t>
  </si>
  <si>
    <t>ICSTV</t>
  </si>
  <si>
    <t>IEEE International Conference on Software Testing, Verification and Validation</t>
  </si>
  <si>
    <t>Conferência Internacional IEEE sobre Testes, Verificação e Validação de Software</t>
  </si>
  <si>
    <t>ICT</t>
  </si>
  <si>
    <t>International Conference on Telecommunications</t>
  </si>
  <si>
    <t>Conferência Internacional sobre Telecomunicações</t>
  </si>
  <si>
    <t>ICTAC</t>
  </si>
  <si>
    <t>International Colloquium on Theoretical Aspects of Computing</t>
  </si>
  <si>
    <t>Colóquio Internacional sobre Aspectos Teóricos da Computação</t>
  </si>
  <si>
    <t>ICTAI</t>
  </si>
  <si>
    <t>IEEE International Conference on Tools with Artificial Intelligence</t>
  </si>
  <si>
    <t>Conferência Internacional IEEE sobre Ferramentas com Inteligência Artificial</t>
  </si>
  <si>
    <t>ICTD</t>
  </si>
  <si>
    <t>International Conference on Information &amp; Communication Technologies and Development</t>
  </si>
  <si>
    <t>Conferência Internacional sobre Tecnologias de Informação e Comunicação e Desenvolvimento</t>
  </si>
  <si>
    <t>ICTIR</t>
  </si>
  <si>
    <t>Conference on the Theory of Information Retrieval</t>
  </si>
  <si>
    <t>Conferência sobre a Teoria de Recuperação de Informação</t>
  </si>
  <si>
    <t>ICTON</t>
  </si>
  <si>
    <t>International Conference on Transparent Optical Networks</t>
  </si>
  <si>
    <t>Conferência Internacional sobre Redes Ópticas Transparentes</t>
  </si>
  <si>
    <t>ICTSS</t>
  </si>
  <si>
    <t>IFIP International Conference on Testing Software and Systems</t>
  </si>
  <si>
    <t>Conferência Internacional IFIP sobre Testes de Software e Sistemas</t>
  </si>
  <si>
    <t>ICUAS</t>
  </si>
  <si>
    <t>International Conference on Unmanned Aircraft Systems</t>
  </si>
  <si>
    <t>Conferência Internacional sobre Sistemas de Aeronaves Não Tripuladas</t>
  </si>
  <si>
    <t>ICUMT</t>
  </si>
  <si>
    <t>International Conference on Ultra Modern Telecommunications</t>
  </si>
  <si>
    <t>Conferência Internacional sobre Telecomunicações Ultra Modernas</t>
  </si>
  <si>
    <t>ICWN</t>
  </si>
  <si>
    <t>International Conference on Wireless Networks</t>
  </si>
  <si>
    <t>Conferência Internacional sobre Redes Sem Fio</t>
  </si>
  <si>
    <t>ICWSM</t>
  </si>
  <si>
    <t>International AAAI Conference on Web and Social Media</t>
  </si>
  <si>
    <t>Conferência Internacional AAAI sobre Web e Mídia Social</t>
  </si>
  <si>
    <t>IDA</t>
  </si>
  <si>
    <t>International Symposium on Intelligent Data Analysis</t>
  </si>
  <si>
    <t>Simpósio Internacional sobre Análise Inteligente de Dados</t>
  </si>
  <si>
    <t>IDEAL</t>
  </si>
  <si>
    <t>International Conference on Intelligent Data Engineering and Automated Learning</t>
  </si>
  <si>
    <t>Conferência Internacional sobre Engenharia de Dados Inteligente e Aprendizado Automatizado</t>
  </si>
  <si>
    <t>IDEAS</t>
  </si>
  <si>
    <t>International Database Engineering and Applications Symposium</t>
  </si>
  <si>
    <t>Simpósio Internacional de Engenharia e Aplicações de Banco de Dados</t>
  </si>
  <si>
    <t>IECON</t>
  </si>
  <si>
    <t>Annual Conference of the IEEE Industrial Electronics Society</t>
  </si>
  <si>
    <t>Conferência Anual da Sociedade de Eletrônica Industrial IEEE</t>
  </si>
  <si>
    <t>IEEE IST</t>
  </si>
  <si>
    <t>IEEE International Conference on Imaging Systems and Techniques</t>
  </si>
  <si>
    <t>Conferência Internacional IEEE sobre Sistemas e Técnicas de Imagem</t>
  </si>
  <si>
    <t>IEEECloudS</t>
  </si>
  <si>
    <t>IEEE Cloud Summit</t>
  </si>
  <si>
    <t>Cúpula de Nuvem IEEE</t>
  </si>
  <si>
    <t>IEEENANO</t>
  </si>
  <si>
    <t>IEEE Conference on Nanotechnology</t>
  </si>
  <si>
    <t>Conferência IEEE sobre Nanotecnologia</t>
  </si>
  <si>
    <t>IEEESCC</t>
  </si>
  <si>
    <t>IEEE International Conference on Services Computing</t>
  </si>
  <si>
    <t>Conferência Internacional IEEE sobre Computação de Serviços</t>
  </si>
  <si>
    <t>IESS</t>
  </si>
  <si>
    <t>IFIP International Embedded Systems Symposium</t>
  </si>
  <si>
    <t>Simpósio Internacional IFIP de Sistemas Embarcados</t>
  </si>
  <si>
    <t>IFAC</t>
  </si>
  <si>
    <t>World Congress of the International Federation of Automatic Control</t>
  </si>
  <si>
    <t>Congresso Mundial da Federação Internacional de Controle Automático</t>
  </si>
  <si>
    <t>IFSA</t>
  </si>
  <si>
    <t>World Congress of International Fuzzy Systems Association</t>
  </si>
  <si>
    <t>Congresso Mundial da Associação Internacional de Sistemas Fuzzy</t>
  </si>
  <si>
    <t>IGARSS</t>
  </si>
  <si>
    <t>IEEE International Geoscience and Remote Sensing Symposium</t>
  </si>
  <si>
    <t>Simpósio Internacional IEEE de Geociência e Sensoriamento Remoto</t>
  </si>
  <si>
    <t>IHC</t>
  </si>
  <si>
    <t>Simpósio Brasileiro sobre Fatores Humanos em Sistemas Computacionais</t>
  </si>
  <si>
    <t>Brazilian Symposium on Human Factors in Computing Systems</t>
  </si>
  <si>
    <t>IISA</t>
  </si>
  <si>
    <t>International Conference on Information, Intelligence, Systems and Applications</t>
  </si>
  <si>
    <t>Conferência Internacional sobre Informação, Inteligência, Sistemas e Aplicações</t>
  </si>
  <si>
    <t>IISWC</t>
  </si>
  <si>
    <t>IEEE International Symposium on Workload Characterization</t>
  </si>
  <si>
    <t>Simpósio Internacional IEEE sobre Caracterização de Carga de Trabalho</t>
  </si>
  <si>
    <t>IIWAS</t>
  </si>
  <si>
    <t>International Conference on Information Integration and Web-based Applications &amp; Services</t>
  </si>
  <si>
    <t>Conferência Internacional sobre Integração de Informação e Aplicações e Serviços Baseados na Web</t>
  </si>
  <si>
    <t>IJCAI</t>
  </si>
  <si>
    <t>International Joint Conference on Artificial Intelligence</t>
  </si>
  <si>
    <t>Conferência Internacional Conjunta sobre Inteligência Artificial</t>
  </si>
  <si>
    <t>IJCAR</t>
  </si>
  <si>
    <t>International Joint Conference on Automated Reasoning</t>
  </si>
  <si>
    <t>Conferência Internacional Conjunta sobre Raciocínio Automatizado</t>
  </si>
  <si>
    <t>IJCNLP</t>
  </si>
  <si>
    <t>International Joint Conference on Natural Language Processing</t>
  </si>
  <si>
    <t>Conferência Internacional Conjunta sobre Processamento de Linguagem Natural</t>
  </si>
  <si>
    <t>IJCNN</t>
  </si>
  <si>
    <t>IEEE International Joint Conference on Neural Networks</t>
  </si>
  <si>
    <t>Conferência Internacional Conjunta IEEE sobre Redes Neurais</t>
  </si>
  <si>
    <t>ILP</t>
  </si>
  <si>
    <t>International Conference on Inductive Logic Programming</t>
  </si>
  <si>
    <t>Conferência Internacional sobre Programação Lógica Indutiva</t>
  </si>
  <si>
    <t>IM</t>
  </si>
  <si>
    <t>IFIP/IEEE International Symposium on Integrated Network Management</t>
  </si>
  <si>
    <t>Simpósio Internacional IFIP/IEEE sobre Gestão Integrada de Redes</t>
  </si>
  <si>
    <t>IMBSA</t>
  </si>
  <si>
    <t>International Symposium on Model-Based Safety and Assessment</t>
  </si>
  <si>
    <t>Simpósio Internacional sobre Segurança e Avaliação Baseada em Modelos</t>
  </si>
  <si>
    <t>IMC</t>
  </si>
  <si>
    <t>ACM Internet Measurement Conference</t>
  </si>
  <si>
    <t>Conferência de Medição de Internet ACM</t>
  </si>
  <si>
    <t>IMOC</t>
  </si>
  <si>
    <t>SBMO/IEEE MTT-S International Microwave and Optoelectronics Conference</t>
  </si>
  <si>
    <t>Conferência Internacional de Micro-ondas e Optoeletrônica SBMO/IEEE MTT-S</t>
  </si>
  <si>
    <t>INDIN</t>
  </si>
  <si>
    <t>IEEE International Conference on Industrial Informatics</t>
  </si>
  <si>
    <t>Conferência Internacional IEEE sobre Informática Industrial</t>
  </si>
  <si>
    <t>INDUSCON</t>
  </si>
  <si>
    <t>International Conference on Industry Applications</t>
  </si>
  <si>
    <t>Conferência Internacional sobre Aplicações Industriais</t>
  </si>
  <si>
    <t>INFOCOM</t>
  </si>
  <si>
    <t>IEEE International Conference on Computer Communications</t>
  </si>
  <si>
    <t>Conferência Internacional IEEE sobre Comunicações de Computadores</t>
  </si>
  <si>
    <t>INFOCOM-E</t>
  </si>
  <si>
    <t>IEEE International Conference on Computer Communications Companion</t>
  </si>
  <si>
    <t>Conferência Internacional IEEE sobre Comunicações de Computadores (Complementar)</t>
  </si>
  <si>
    <t>INLG</t>
  </si>
  <si>
    <t>International Natural Language Generation conference</t>
  </si>
  <si>
    <t>Conferência Internacional de Geração de Linguagem Natural</t>
  </si>
  <si>
    <t>INOC</t>
  </si>
  <si>
    <t>International Network Optimization Conference</t>
  </si>
  <si>
    <t>Conferência Internacional de Otimização de Redes</t>
  </si>
  <si>
    <t>INSCIT</t>
  </si>
  <si>
    <t>International Symposium on Instrumentation Systems, Circuits and Transducers</t>
  </si>
  <si>
    <t>Simpósio Internacional sobre Sistemas de Instrumentação, Circuitos e Transdutores</t>
  </si>
  <si>
    <t>INTELLISYS</t>
  </si>
  <si>
    <t>SAI Intelligent Systems Conference</t>
  </si>
  <si>
    <t>Conferência de Sistemas Inteligentes SAI</t>
  </si>
  <si>
    <t>INTERACT</t>
  </si>
  <si>
    <t>IFIP TC 13 International Conference on Human-Computer Interaction</t>
  </si>
  <si>
    <t>Conferência Internacional IFIP TC 13 sobre Interação Humano-Computador</t>
  </si>
  <si>
    <t>INTERSPEECH</t>
  </si>
  <si>
    <t>Conference of the International Speech Communication Association</t>
  </si>
  <si>
    <t>Conferência da Associação Internacional de Comunicação por Fala</t>
  </si>
  <si>
    <t>IOLTS</t>
  </si>
  <si>
    <t>IEEE International On-Line Testing Symposium</t>
  </si>
  <si>
    <t>Simpósio Internacional IEEE de Testes On-Line</t>
  </si>
  <si>
    <t>IoTBDS</t>
  </si>
  <si>
    <t>International Conference on Internet of Things and Big Data and Security</t>
  </si>
  <si>
    <t>Conferência Internacional sobre Internet das Coisas, Big Data e Segurança</t>
  </si>
  <si>
    <t>IPAW</t>
  </si>
  <si>
    <t>International Provenance and Annotation Workshop</t>
  </si>
  <si>
    <t>Workshop Internacional de Proveniência e Anotação</t>
  </si>
  <si>
    <t>IPCO</t>
  </si>
  <si>
    <t>Conference on Integer Programming and Combinatorial Optimization</t>
  </si>
  <si>
    <t>Conferência sobre Programação Inteira e Otimização Combinatória</t>
  </si>
  <si>
    <t>IPDPS</t>
  </si>
  <si>
    <t>IEEE International Parallel &amp; Distributed Processing Symposium</t>
  </si>
  <si>
    <t>Simpósio Internacional IEEE de Processamento Paralelo e Distribuído</t>
  </si>
  <si>
    <t>IPDPS-E</t>
  </si>
  <si>
    <t>IEEE International Parallel &amp; Distributed Processing Symposium Companion</t>
  </si>
  <si>
    <t>Simpósio Internacional IEEE de Processamento Paralelo e Distribuído (Complementar)</t>
  </si>
  <si>
    <t>IPEC</t>
  </si>
  <si>
    <t>International Symposium on Parameterized and Exact Computation</t>
  </si>
  <si>
    <t>Simpósio Internacional sobre Computação Parametrizada e Exata</t>
  </si>
  <si>
    <t>IPMU</t>
  </si>
  <si>
    <t>International Conference on Information Processing and Management of Uncertainty</t>
  </si>
  <si>
    <t>Conferência Internacional sobre Processamento de Informação e Gestão de Incerteza</t>
  </si>
  <si>
    <t>IPTA</t>
  </si>
  <si>
    <t>International Conference on Image Processing Theory Tools and Applications</t>
  </si>
  <si>
    <t>Conferência Internacional sobre Teoria, Ferramentas e Aplicações de Processamento de Imagem</t>
  </si>
  <si>
    <t>IRC</t>
  </si>
  <si>
    <t>IEEE International Conference on Robotic Computing</t>
  </si>
  <si>
    <t>Conferência Internacional IEEE sobre Computação Robótica</t>
  </si>
  <si>
    <t>IROS</t>
  </si>
  <si>
    <t>IEEE/RSJ International Conference on Intelligent Robots and Systems</t>
  </si>
  <si>
    <t>Conferência Internacional IEEE/RSJ sobre Robôs e Sistemas Inteligentes</t>
  </si>
  <si>
    <t>ISAAC</t>
  </si>
  <si>
    <t>International Symposium on Algorithms and Computation</t>
  </si>
  <si>
    <t>Simpósio Internacional sobre Algoritmos e Computação</t>
  </si>
  <si>
    <t>ISADS</t>
  </si>
  <si>
    <t>International Symposium on Autonomous Decentralized Systems</t>
  </si>
  <si>
    <t>Simpósio Internacional sobre Sistemas Descentralizados Autônomos</t>
  </si>
  <si>
    <t>ISBI</t>
  </si>
  <si>
    <t>IEEE International Symposium on Biomedical Imaging</t>
  </si>
  <si>
    <t>Simpósio Internacional IEEE de Imagem Biomédica</t>
  </si>
  <si>
    <t>ISBRA</t>
  </si>
  <si>
    <t>International Symposium on Bioinformatics Research and Applications</t>
  </si>
  <si>
    <t>Simpósio Internacional sobre Pesquisa e Aplicações em Bioinformática</t>
  </si>
  <si>
    <t>ISC</t>
  </si>
  <si>
    <t>International Conference on Information Security</t>
  </si>
  <si>
    <t>Conferência Internacional sobre Segurança da Informação</t>
  </si>
  <si>
    <t>ISC2</t>
  </si>
  <si>
    <t>IEEE International Smart Cities Conference</t>
  </si>
  <si>
    <t>Conferência Internacional IEEE de Cidades Inteligentes</t>
  </si>
  <si>
    <t>ISCAS</t>
  </si>
  <si>
    <t>IEEE International Symposium on Circuits and Systems</t>
  </si>
  <si>
    <t>Simpósio Internacional IEEE de Circuitos e Sistemas</t>
  </si>
  <si>
    <t>ISCC</t>
  </si>
  <si>
    <t>International Symposium on Computers and Communications</t>
  </si>
  <si>
    <t>Simpósio Internacional sobre Computadores e Comunicações</t>
  </si>
  <si>
    <t>ISCO</t>
  </si>
  <si>
    <t>International Symposium on Combinatorial Optimization</t>
  </si>
  <si>
    <t>Simpósio Internacional sobre Otimização Combinatória</t>
  </si>
  <si>
    <t>ISCRAM</t>
  </si>
  <si>
    <t>International Conference on Information Systems for Crisis Response and Management</t>
  </si>
  <si>
    <t>Conferência Internacional sobre Sistemas de Informação para Resposta e Gestão de Crises</t>
  </si>
  <si>
    <t>ISE</t>
  </si>
  <si>
    <t>Workshop Brasileiro de Engenharia de Software Inteligente</t>
  </si>
  <si>
    <t>Brazilian Workshop on Intelligent Software Engineering</t>
  </si>
  <si>
    <t>ISGT</t>
  </si>
  <si>
    <t>IEEE PES Innovative Smart Grid Technologies</t>
  </si>
  <si>
    <t>Tecnologias Inovadoras de Redes Inteligentes IEEE PES</t>
  </si>
  <si>
    <t>ISGT-Europe</t>
  </si>
  <si>
    <t>IEEE PES Innovative Smart Grid Technologies Conference Europe</t>
  </si>
  <si>
    <t>Conferência de Tecnologias Inovadoras de Redes Inteligentes IEEE PES Europa</t>
  </si>
  <si>
    <t>ISGT-LA</t>
  </si>
  <si>
    <t>IEEE PES Innovative Smart Grid Technologies Conference Latin America</t>
  </si>
  <si>
    <t>Conferência de Tecnologias Inovadoras de Redes Inteligentes IEEE PES América Latina</t>
  </si>
  <si>
    <t>ISIE</t>
  </si>
  <si>
    <t>IEEE International Symposium on Industrial Electronics</t>
  </si>
  <si>
    <t>Simpósio Internacional IEEE de Eletrônica Industrial</t>
  </si>
  <si>
    <t>ISIPTA</t>
  </si>
  <si>
    <t>International Symposium on Imprecise Probabilities: Theories and Applications</t>
  </si>
  <si>
    <t>Simpósio Internacional sobre Probabilidades Imprecisas: Teorias e Aplicações</t>
  </si>
  <si>
    <t>ISLA</t>
  </si>
  <si>
    <t>Information Systems in Latin America</t>
  </si>
  <si>
    <t>Sistemas de Informação na América Latina</t>
  </si>
  <si>
    <t>ISM</t>
  </si>
  <si>
    <t>IEEE International Symposium on Multimedia</t>
  </si>
  <si>
    <t>Simpósio Internacional IEEE de Multimídia</t>
  </si>
  <si>
    <t>ISMAR</t>
  </si>
  <si>
    <t>IEEE International Symposium on Mixed and Augmented Reality</t>
  </si>
  <si>
    <t>Simpósio Internacional IEEE de Realidade Mista e Aumentada</t>
  </si>
  <si>
    <t>ISMIR</t>
  </si>
  <si>
    <t>International Society for Music Information Retrieval Conference</t>
  </si>
  <si>
    <t>Conferência da Sociedade Internacional de Recuperação de Informação Musical</t>
  </si>
  <si>
    <t>ISMSI</t>
  </si>
  <si>
    <t>International Conference on Intelligent Systems, Metaheuristics &amp; Swarm Intelligence</t>
  </si>
  <si>
    <t>Conferência Internacional sobre Sistemas Inteligentes, Metaheurísticas e Inteligência de Enxame</t>
  </si>
  <si>
    <t>ISMVL</t>
  </si>
  <si>
    <t>IEEE International Symposium on Multiple-Valued Logic</t>
  </si>
  <si>
    <t>Simpósio Internacional IEEE de Lógica de Múltiplos Valores</t>
  </si>
  <si>
    <t>ISNN</t>
  </si>
  <si>
    <t>International Symposium on Neural Networks</t>
  </si>
  <si>
    <t>Simpósio Internacional sobre Redes Neurais</t>
  </si>
  <si>
    <t>ISORC</t>
  </si>
  <si>
    <t>IEEE International Symposium on RealTime Distributed Computing</t>
  </si>
  <si>
    <t>Simpósio Internacional IEEE de Computação Distribuída em Tempo Real</t>
  </si>
  <si>
    <t>ISPASS</t>
  </si>
  <si>
    <t>IEEE International Symposium on Performance Analysis of Systems and Software</t>
  </si>
  <si>
    <t>Simpósio Internacional IEEE de Análise de Desempenho de Sistemas e Software</t>
  </si>
  <si>
    <t>ISPDC</t>
  </si>
  <si>
    <t>International Symposium on Parallel and Distributed Computing</t>
  </si>
  <si>
    <t>Simpósio Internacional sobre Computação Paralela e Distribuída</t>
  </si>
  <si>
    <t>ISPRS</t>
  </si>
  <si>
    <t>ISPRS Annals of the Photogrammetry, Remote Sensing and Spatial Information Sciences</t>
  </si>
  <si>
    <t>Anais da ISPRS de Fotogrametria, Sensoriamento Remoto e Ciências da Informação Espacial</t>
  </si>
  <si>
    <t>ISQED</t>
  </si>
  <si>
    <t>International Symposium on Quality Electronic Design</t>
  </si>
  <si>
    <t>Simpósio Internacional sobre Design Eletrônico de Qualidade</t>
  </si>
  <si>
    <t>ISSI</t>
  </si>
  <si>
    <t>International Society of Scientometrics and Informetrics Conference</t>
  </si>
  <si>
    <t>Conferência da Sociedade Internacional de Cientometria e Informetria</t>
  </si>
  <si>
    <t>ISSRE</t>
  </si>
  <si>
    <t>IEEE International Symposium on Software Reliability Engineering</t>
  </si>
  <si>
    <t>Simpósio Internacional IEEE de Engenharia de Confiabilidade de Software</t>
  </si>
  <si>
    <t>ISSRE-E</t>
  </si>
  <si>
    <t>IEEE International Symposium on Software Reliability Engineering Companion</t>
  </si>
  <si>
    <t>Simpósio Internacional IEEE de Engenharia de Confiabilidade de Software (Complementar)</t>
  </si>
  <si>
    <t>ISSTA</t>
  </si>
  <si>
    <t>International Symposium on Software Testing and Analysis</t>
  </si>
  <si>
    <t>Simpósio Internacional sobre Testes e Análise de Software</t>
  </si>
  <si>
    <t>ISTAR</t>
  </si>
  <si>
    <t>International iWorkshop</t>
  </si>
  <si>
    <t>Workshop Internacional i</t>
  </si>
  <si>
    <t>ISVC</t>
  </si>
  <si>
    <t>International Symposium on Visual Computing</t>
  </si>
  <si>
    <t>Simpósio Internacional sobre Computação Visual</t>
  </si>
  <si>
    <t>ISVLSI</t>
  </si>
  <si>
    <t>IEEE Computer Society Annual Symposium on VLSI</t>
  </si>
  <si>
    <t>Simpósio Anual da Sociedade de Computação IEEE sobre VLSI</t>
  </si>
  <si>
    <t>ISWCS</t>
  </si>
  <si>
    <t>International Symposium on Wireless Communication Systems</t>
  </si>
  <si>
    <t>Simpósio Internacional sobre Sistemas de Comunicação Sem Fio</t>
  </si>
  <si>
    <t>ITC</t>
  </si>
  <si>
    <t>International Test Conference</t>
  </si>
  <si>
    <t>Conferência Internacional de Testes</t>
  </si>
  <si>
    <t>ITHET</t>
  </si>
  <si>
    <t>International Conference on Information Technology Based Higher Education and Training</t>
  </si>
  <si>
    <t>Conferência Internacional sobre Educação e Treinamento Superior Baseado em Tecnologia da Informação</t>
  </si>
  <si>
    <t>ITICSE</t>
  </si>
  <si>
    <t>Joint Conference on Innovation and Technology in Computer Science Education</t>
  </si>
  <si>
    <t>Conferência Conjunta sobre Inovação e Tecnologia na Educação em Ciência da Computação</t>
  </si>
  <si>
    <t>ITNG</t>
  </si>
  <si>
    <t>International Conference on Information Technology : New Generations</t>
  </si>
  <si>
    <t>Conferência Internacional sobre Tecnologia da Informação: Novas Gerações</t>
  </si>
  <si>
    <t>ITP</t>
  </si>
  <si>
    <t>International Conference on Interactive Theorem Proving</t>
  </si>
  <si>
    <t>Conferência Internacional sobre Prova Interativa de Teoremas</t>
  </si>
  <si>
    <t>ITS</t>
  </si>
  <si>
    <t>International Conference on Augmented Intelligence and Intelligent Tutoring Systems</t>
  </si>
  <si>
    <t>Conferência Internacional sobre Inteligência Aumentada e Sistemas de Tutoria Inteligente</t>
  </si>
  <si>
    <t>ITSC</t>
  </si>
  <si>
    <t>IEEE International Conference on Intelligent Transportation Systems</t>
  </si>
  <si>
    <t>Conferência Internacional IEEE sobre Sistemas de Transporte Inteligentes</t>
  </si>
  <si>
    <t>IUI</t>
  </si>
  <si>
    <t>International Conference on Intelligent User Interfaces</t>
  </si>
  <si>
    <t>Conferência Internacional sobre Interfaces Inteligentes de Usuário</t>
  </si>
  <si>
    <t>IV</t>
  </si>
  <si>
    <t>International Conference on Information Visualization</t>
  </si>
  <si>
    <t>Conferência Internacional sobre Visualização de Informações</t>
  </si>
  <si>
    <t>IVAPP</t>
  </si>
  <si>
    <t>International Conference on Information Visualization Theory and Applications</t>
  </si>
  <si>
    <t>Conferência Internacional sobre Teoria e Aplicações de Visualização de Informações</t>
  </si>
  <si>
    <t>IVS</t>
  </si>
  <si>
    <t>IEEE Intelligent Vehicles Symposium</t>
  </si>
  <si>
    <t>Simpósio IEEE de Veículos Inteligentes</t>
  </si>
  <si>
    <t>IWANN</t>
  </si>
  <si>
    <t>International Work-Conference on Artificial Neural Networks</t>
  </si>
  <si>
    <t>Conferência de Trabalho Internacional sobre Redes Neurais Artificiais</t>
  </si>
  <si>
    <t>IWBBIO</t>
  </si>
  <si>
    <t>International Work-Conference on Bioinformatics and Biomedical Engineering</t>
  </si>
  <si>
    <t>Conferência de Trabalho Internacional sobre Bioinformática e Engenharia Biomédica</t>
  </si>
  <si>
    <t>IWCMC</t>
  </si>
  <si>
    <t>International Wireless Communications and Mobile Computing Conference</t>
  </si>
  <si>
    <t>Conferência Internacional de Comunicações Sem Fio e Computação Móvel</t>
  </si>
  <si>
    <t>IWOCA</t>
  </si>
  <si>
    <t>International Workshop on Combinatorial Algorithms</t>
  </si>
  <si>
    <t>Workshop Internacional sobre Algoritmos Combinatórios</t>
  </si>
  <si>
    <t>IWSECO</t>
  </si>
  <si>
    <t>International Workshop on Software Ecosystems</t>
  </si>
  <si>
    <t>Workshop Internacional sobre Ecossistemas de Software</t>
  </si>
  <si>
    <t>IWSSIP</t>
  </si>
  <si>
    <t>International Conference on Systems, Signals and Image Processing</t>
  </si>
  <si>
    <t>Conferência Internacional sobre Sistemas, Sinais e Processamento de Imagem</t>
  </si>
  <si>
    <t>jAUTI</t>
  </si>
  <si>
    <t>Iberoamerican Conference on Applications and Usability of Interactive TV</t>
  </si>
  <si>
    <t>Conferência Ibero-americana sobre Aplicações e Usabilidade de TV Interativa</t>
  </si>
  <si>
    <t>JCDL</t>
  </si>
  <si>
    <t>ACM/IEEE Joint Conference on Digital Libraries</t>
  </si>
  <si>
    <t>Conferência Conjunta ACM/IEEE sobre Bibliotecas Digitais</t>
  </si>
  <si>
    <t>JSSPP</t>
  </si>
  <si>
    <t>Workshop on Job Scheduling Strategies for Parallel Processing</t>
  </si>
  <si>
    <t>Workshop sobre Estratégias de Agendamento de Tarefas para Processamento Paralelo</t>
  </si>
  <si>
    <t>JURIX</t>
  </si>
  <si>
    <t>International Conference on Legal Knowledge and Information Systems</t>
  </si>
  <si>
    <t>Conferência Internacional sobre Conhecimento Jurídico e Sistemas de Informação</t>
  </si>
  <si>
    <t>KDD</t>
  </si>
  <si>
    <t>ACM SIGKDD Conference on Knowledge Discovery and Data Mining</t>
  </si>
  <si>
    <t>Conferência ACM SIGKDD sobre Descoberta de Conhecimento e Mineração de Dados</t>
  </si>
  <si>
    <t>KDMILE</t>
  </si>
  <si>
    <t>Symposium on Knowledge Discovery, Mining and Learning</t>
  </si>
  <si>
    <t>Simpósio sobre Descoberta de Conhecimento, Mineração e Aprendizado</t>
  </si>
  <si>
    <t>KEPS</t>
  </si>
  <si>
    <t>Workshop on Knowledge Engineering for Planning and Scheduling</t>
  </si>
  <si>
    <t>Workshop sobre Engenharia de Conhecimento para Planejamento e Agendamento</t>
  </si>
  <si>
    <t>KR</t>
  </si>
  <si>
    <t>International Conference on Principles of Knowledge Representation and Reasoning</t>
  </si>
  <si>
    <t>Conferência Internacional sobre Princípios de Representação e Raciocínio de Conhecimento</t>
  </si>
  <si>
    <t>L@S</t>
  </si>
  <si>
    <t>ACM Conference on Learning @ Scale</t>
  </si>
  <si>
    <t>Conferência ACM sobre Aprendizado em Escala</t>
  </si>
  <si>
    <t>LA-CCI</t>
  </si>
  <si>
    <t>Latin American Conference on Computational Intelligence</t>
  </si>
  <si>
    <t>Conferência Latino-Americana sobre Inteligência Computacional</t>
  </si>
  <si>
    <t>LACLO</t>
  </si>
  <si>
    <t>Latin American Conference on Learning Technologies</t>
  </si>
  <si>
    <t>Conferência Latino-Americana sobre Tecnologias de Aprendizagem</t>
  </si>
  <si>
    <t>LADC</t>
  </si>
  <si>
    <t>Latin-American Symposium on Dependable and Secure Computing</t>
  </si>
  <si>
    <t>Simpósio Latino-Americano sobre Computação Confiável e Segura</t>
  </si>
  <si>
    <t>LAGOS</t>
  </si>
  <si>
    <t>Latin-American Algorithms, Graphs and Optimization Symposium</t>
  </si>
  <si>
    <t>Simpósio Latino-Americano de Algoritmos, Grafos e Otimização</t>
  </si>
  <si>
    <t>LAK</t>
  </si>
  <si>
    <t>International Learning Analytics and Knowledge Conference</t>
  </si>
  <si>
    <t>Conferência Internacional sobre Análise de Aprendizado e Conhecimento</t>
  </si>
  <si>
    <t>LANC</t>
  </si>
  <si>
    <t>Latin American Networking Conference</t>
  </si>
  <si>
    <t>Conferência Latino-Americana de Redes</t>
  </si>
  <si>
    <t>LARS</t>
  </si>
  <si>
    <t>IEEE Latin American Robotics Symposium</t>
  </si>
  <si>
    <t>Simpósio Latino-Americano de Robótica IEEE</t>
  </si>
  <si>
    <t>LASCAS</t>
  </si>
  <si>
    <t>IEEE Latin American Symposium on Circuits and Systems</t>
  </si>
  <si>
    <t>Simpósio Latino-Americano de Circuitos e Sistemas IEEE</t>
  </si>
  <si>
    <t>LATIN</t>
  </si>
  <si>
    <t>Latin American Theoretical Informatics Symposium</t>
  </si>
  <si>
    <t>Simpósio Latino-Americano de Informática Teórica</t>
  </si>
  <si>
    <t>LATINCOM</t>
  </si>
  <si>
    <t>IEEE Latin-American Conference on Communications</t>
  </si>
  <si>
    <t>Conferência Latino-Americana de Comunicações IEEE</t>
  </si>
  <si>
    <t>LATINCRYPT</t>
  </si>
  <si>
    <t>International Conference on Cryptology and Information Security in Latin America</t>
  </si>
  <si>
    <t>Conferência Internacional sobre Criptologia e Segurança da Informação na América Latina</t>
  </si>
  <si>
    <t>LATINOWARE</t>
  </si>
  <si>
    <t>Congresso Latino-americano de Software Livre e Tecnologias Abertas</t>
  </si>
  <si>
    <t>Latin American Congress on Free Software and Open Technologies</t>
  </si>
  <si>
    <t>LATS</t>
  </si>
  <si>
    <t>IEEE Latin American Test Symposium</t>
  </si>
  <si>
    <t>Simpósio Latino-Americano de Testes IEEE</t>
  </si>
  <si>
    <t>LAW</t>
  </si>
  <si>
    <t>Linguistic Annotation Workshop</t>
  </si>
  <si>
    <t>Workshop de Anotação Linguística</t>
  </si>
  <si>
    <t>LCN</t>
  </si>
  <si>
    <t>IEEE Conference on Local Computer Networks</t>
  </si>
  <si>
    <t>Conferência IEEE sobre Redes Locais de Computadores</t>
  </si>
  <si>
    <t>LIDTA</t>
  </si>
  <si>
    <t>Workshop on Learning with Imbalanced Domains: Theory and Applications</t>
  </si>
  <si>
    <t>Workshop sobre Aprendizado com Domínios Desbalanceados: Teoria e Aplicações</t>
  </si>
  <si>
    <t>LREC</t>
  </si>
  <si>
    <t>International Conference on Language Resources and Evaluation</t>
  </si>
  <si>
    <t>Conferência Internacional sobre Recursos e Avaliação de Linguagem</t>
  </si>
  <si>
    <t>MABS</t>
  </si>
  <si>
    <t>International Workshop on Multi-Agent Based Simulation</t>
  </si>
  <si>
    <t>Workshop Internacional sobre Simulação Baseada em Multiagentes</t>
  </si>
  <si>
    <t>MASCOTS</t>
  </si>
  <si>
    <t>International Symposium on the Modeling, Analysis, and Simulation of Computer and Telecommunication Systems</t>
  </si>
  <si>
    <t>Simpósio Internacional sobre Modelagem, Análise e Simulação de Sistemas de Computação e Telecomunicações</t>
  </si>
  <si>
    <t>MEDINFO</t>
  </si>
  <si>
    <t>World Congress on Medical and Health Informatics</t>
  </si>
  <si>
    <t>Congresso Mundial de Informática Médica e de Saúde</t>
  </si>
  <si>
    <t>MEMEA</t>
  </si>
  <si>
    <t>IEEE International Symposium on Medical Measurements and Applications</t>
  </si>
  <si>
    <t>Simpósio Internacional IEEE sobre Medições Médicas e Aplicações</t>
  </si>
  <si>
    <t>MEMSYS</t>
  </si>
  <si>
    <t>International Symposium on Memory Systems</t>
  </si>
  <si>
    <t>Simpósio Internacional sobre Sistemas de Memória</t>
  </si>
  <si>
    <t>MFCS</t>
  </si>
  <si>
    <t>International Symposium on Mathematical Foundations of Computer Science</t>
  </si>
  <si>
    <t>Simpósio Internacional sobre Fundamentos Matemáticos da Ciência da Computação</t>
  </si>
  <si>
    <t>MFI</t>
  </si>
  <si>
    <t>IEEE International Conference on Multisensor Fusion and Integration for Intelligent Systems</t>
  </si>
  <si>
    <t>Conferência Internacional IEEE sobre Fusão e Integração de Sensores para Sistemas Inteligentes</t>
  </si>
  <si>
    <t>MIC</t>
  </si>
  <si>
    <t>Metaheuristics International Conference</t>
  </si>
  <si>
    <t>Conferência Internacional de Metaheurísticas</t>
  </si>
  <si>
    <t>MICAI</t>
  </si>
  <si>
    <t>Mexican International Conference on Artificial Intelligence</t>
  </si>
  <si>
    <t>Conferência Internacional Mexicana sobre Inteligência Artificial</t>
  </si>
  <si>
    <t>MICCAI</t>
  </si>
  <si>
    <t>International Conference on Medical Image Computing and Computer Assisted Intervention</t>
  </si>
  <si>
    <t>Conferência Internacional sobre Computação de Imagem Médica e Intervenção Assistida por Computador</t>
  </si>
  <si>
    <t>MIDDLEWARE</t>
  </si>
  <si>
    <t>International Middleware Conference</t>
  </si>
  <si>
    <t>Conferência Internacional de Middleware</t>
  </si>
  <si>
    <t>MILCOM</t>
  </si>
  <si>
    <t>Military Communications Conference</t>
  </si>
  <si>
    <t>Conferência de Comunicações Militares</t>
  </si>
  <si>
    <t>MLDM</t>
  </si>
  <si>
    <t>International Conference on Machine Learning and Data Mining in Pattern Recognition</t>
  </si>
  <si>
    <t>Conferência Internacional sobre Aprendizado de Máquina e Mineração de Dados em Reconhecimento de Padrões</t>
  </si>
  <si>
    <t>MLS</t>
  </si>
  <si>
    <t>Conference on Machine Learning and Systems</t>
  </si>
  <si>
    <t>Conferência sobre Aprendizado de Máquina e Sistemas</t>
  </si>
  <si>
    <t>MLSP</t>
  </si>
  <si>
    <t>IEEE International Workshop on Machine Learning for Signal Processing</t>
  </si>
  <si>
    <t>Workshop Internacional IEEE sobre Aprendizado de Máquina para Processamento de Sinais</t>
  </si>
  <si>
    <t>MMAR</t>
  </si>
  <si>
    <t>International Conference on Methods and Models in Automation and Robotics</t>
  </si>
  <si>
    <t>Conferência Internacional sobre Métodos e Modelos em Automação e Robótica</t>
  </si>
  <si>
    <t>MMM</t>
  </si>
  <si>
    <t>International Conference on Multimedia Modelling</t>
  </si>
  <si>
    <t>Conferência Internacional sobre Modelagem Multimídia</t>
  </si>
  <si>
    <t>MMSP</t>
  </si>
  <si>
    <t>International Workshop on Multimedia and Signal Processing</t>
  </si>
  <si>
    <t>Workshop Internacional sobre Multimídia e Processamento de Sinais</t>
  </si>
  <si>
    <t>MMSYS</t>
  </si>
  <si>
    <t>ACM Multimedia Systems Conference</t>
  </si>
  <si>
    <t>Conferência ACM sobre Sistemas Multimídia</t>
  </si>
  <si>
    <t>MOBICOM</t>
  </si>
  <si>
    <t>ACM/IEEE International Conference on Mobile Computing and Networking</t>
  </si>
  <si>
    <t>Conferência Internacional ACM/IEEE sobre Computação e Redes Móveis</t>
  </si>
  <si>
    <t>MOBIHEALTH</t>
  </si>
  <si>
    <t>EAI International Conference on Wireless Mobile Communication and Healthcare</t>
  </si>
  <si>
    <t>Conferência Internacional EAI sobre Comunicação Móvel Sem Fio e Saúde</t>
  </si>
  <si>
    <t>MOBILESOFT</t>
  </si>
  <si>
    <t>International Conference on Mobile Software Engineering and Systems</t>
  </si>
  <si>
    <t>Conferência Internacional sobre Engenharia e Sistemas de Software Móvel</t>
  </si>
  <si>
    <t>MOBIQUITOUS</t>
  </si>
  <si>
    <t>EAI International Conference on Mobile and Ubiquitous Systems: Computing, Networking and Services</t>
  </si>
  <si>
    <t>Conferência Internacional EAI sobre Sistemas Móveis e Ubíquos: Computação, Redes e Serviços</t>
  </si>
  <si>
    <t>MobiSys</t>
  </si>
  <si>
    <t>Annual International Conference on Mobile Systems, Applications, and Services</t>
  </si>
  <si>
    <t>Conferência Internacional Anual sobre Sistemas, Aplicações e Serviços Móveis</t>
  </si>
  <si>
    <t>MOBIWAC</t>
  </si>
  <si>
    <t>ACM International Symposium on Mobility Management and Wireless Access</t>
  </si>
  <si>
    <t>Simpósio Internacional ACM sobre Gestão de Mobilidade e Acesso Sem Fio</t>
  </si>
  <si>
    <t>MODELS</t>
  </si>
  <si>
    <t>International Conference on Model Driven Engineering Languages and Systems</t>
  </si>
  <si>
    <t>Conferência Internacional sobre Linguagens e Sistemas de Engenharia Dirigida por Modelos</t>
  </si>
  <si>
    <t>MODELSWARD</t>
  </si>
  <si>
    <t>International Conference on Model-Driven Engineering and Software Development</t>
  </si>
  <si>
    <t>Conferência Internacional sobre Engenharia Dirigida por Modelos e Desenvolvimento de Software</t>
  </si>
  <si>
    <t>MSR</t>
  </si>
  <si>
    <t>Working Conference on Mining Software Repositories</t>
  </si>
  <si>
    <t>Conferência de Trabalho sobre Mineração de Repositórios de Software</t>
  </si>
  <si>
    <t>MSSIS</t>
  </si>
  <si>
    <t>Workshop deModelagem e Simulação de Sistemas Intensivos em Software</t>
  </si>
  <si>
    <t>Workshop on Modeling and Simulation of Software-Intensive Systems</t>
  </si>
  <si>
    <t>MSWIM</t>
  </si>
  <si>
    <t>ACM International Conference on Modeling, Analysis and Simulation of Wireless and Mobile Systems</t>
  </si>
  <si>
    <t>Conferência Internacional ACM sobre Modelagem, Análise e Simulação de Sistemas Sem Fio e Móveis</t>
  </si>
  <si>
    <t>MTSR</t>
  </si>
  <si>
    <t>International Conference on Metadata and Semantics Research</t>
  </si>
  <si>
    <t>Conferência Internacional sobre Pesquisa em Metadados e Semântica</t>
  </si>
  <si>
    <t>MWSCAS</t>
  </si>
  <si>
    <t>International Midwest Symposium on Circuits and Systems</t>
  </si>
  <si>
    <t>Simpósio Internacional do Meio-Oeste sobre Circuitos e Sistemas</t>
  </si>
  <si>
    <t>NAACL</t>
  </si>
  <si>
    <t>North American Chapter of the Association for Computational Linguistics Annual Meeting</t>
  </si>
  <si>
    <t>Reunião Anual do Capítulo Norte-Americano da Associação de Linguística Computacional</t>
  </si>
  <si>
    <t>NCA</t>
  </si>
  <si>
    <t>IEEE International Symposium on Network Computing and Applications</t>
  </si>
  <si>
    <t>Simpósio Internacional IEEE sobre Computação em Rede e Aplicações</t>
  </si>
  <si>
    <t>NETSOFT</t>
  </si>
  <si>
    <t>IEEE Conference on Network Softwarization</t>
  </si>
  <si>
    <t>Conferência IEEE sobre Softwarização de Redes</t>
  </si>
  <si>
    <t>NetSys</t>
  </si>
  <si>
    <t>International Conference on Networked Systems</t>
  </si>
  <si>
    <t>Conferência Internacional sobre Sistemas em Rede</t>
  </si>
  <si>
    <t>NETWORKING</t>
  </si>
  <si>
    <t>IFIP Networking Conference</t>
  </si>
  <si>
    <t>Conferência de Redes IFIP</t>
  </si>
  <si>
    <t>NEURIPS</t>
  </si>
  <si>
    <t>Neural Information Processing Systems</t>
  </si>
  <si>
    <t>Sistemas de Processamento de Informação Neural</t>
  </si>
  <si>
    <t>NEWCAS</t>
  </si>
  <si>
    <t>IEEE International New Circuits and Systems Conference</t>
  </si>
  <si>
    <t>Conferência Internacional IEEE sobre Novos Circuitos e Sistemas</t>
  </si>
  <si>
    <t>NFV-SDN</t>
  </si>
  <si>
    <t>IEEE Conference on Network Function Virtualization and Software Defined Networks</t>
  </si>
  <si>
    <t>Conferência IEEE sobre Virtualização de Funções de Rede e Redes Definidas por Software</t>
  </si>
  <si>
    <t>NIME</t>
  </si>
  <si>
    <t>International Conference on New Interfaces for Musical Expression</t>
  </si>
  <si>
    <t>Conferência Internacional sobre Novas Interfaces para Expressão Musical</t>
  </si>
  <si>
    <t>NLDB</t>
  </si>
  <si>
    <t>International Conference on Application of Natural Language to Information Systems</t>
  </si>
  <si>
    <t>Conferência Internacional sobre Aplicação de Linguagem Natural a Sistemas de Informação</t>
  </si>
  <si>
    <t>NOF</t>
  </si>
  <si>
    <t>International Conference on Network of the Future</t>
  </si>
  <si>
    <t>Conferência Internacional sobre Rede do Futuro</t>
  </si>
  <si>
    <t>NOMS</t>
  </si>
  <si>
    <t>IEEE/IFIP Network Operations and Management Symposium</t>
  </si>
  <si>
    <t>Simpósio IEEE/IFIP de Operações e Gestão de Redes</t>
  </si>
  <si>
    <t>NORDICHI</t>
  </si>
  <si>
    <t>Nordic Conference on Human-Computer Interaction</t>
  </si>
  <si>
    <t>Conferência Nórdica sobre Interação Humano-Computador</t>
  </si>
  <si>
    <t>NTMS</t>
  </si>
  <si>
    <t>IFIP International Conference on New Technologies, Mobility and Security</t>
  </si>
  <si>
    <t>Conferência Internacional IFIP sobre Novas Tecnologias, Mobilidade e Segurança</t>
  </si>
  <si>
    <t>OCEAN</t>
  </si>
  <si>
    <t>IEEE Oceans Conference</t>
  </si>
  <si>
    <t>Conferência IEEE Oceans</t>
  </si>
  <si>
    <t>OM</t>
  </si>
  <si>
    <t>International Workshop on Ontology Matching</t>
  </si>
  <si>
    <t>Workshop Internacional sobre Correspondência de Ontologias</t>
  </si>
  <si>
    <t>ONDM</t>
  </si>
  <si>
    <t>Conference on Optical Network Design and Modeling</t>
  </si>
  <si>
    <t>Conferência sobre Design e Modelagem de Redes Ópticas</t>
  </si>
  <si>
    <t>ONTOBRAS</t>
  </si>
  <si>
    <t>Seminar on Ontology Research in Brazil</t>
  </si>
  <si>
    <t>Seminário de Pesquisa em Ontologia no Brasil</t>
  </si>
  <si>
    <t>OOPSLA</t>
  </si>
  <si>
    <t>Conference on Object-Oriented Programming Systems, Languages, and Applications</t>
  </si>
  <si>
    <t>Conferência sobre Sistemas, Linguagens e Aplicações de Programação Orientada a Objetos</t>
  </si>
  <si>
    <t>OPENSCIENSE</t>
  </si>
  <si>
    <t>Workshop de Práticas de Ciência Aberta Para Engenharia de Software</t>
  </si>
  <si>
    <t>Workshop on Open Science Practices for Software Engineering</t>
  </si>
  <si>
    <t>OPENSYM</t>
  </si>
  <si>
    <t>International Symposium on Open Collaboration</t>
  </si>
  <si>
    <t>Simpósio Internacional sobre Colaboração Aberta</t>
  </si>
  <si>
    <t>OSS</t>
  </si>
  <si>
    <t>International Conference on Open Source Systems</t>
  </si>
  <si>
    <t>Conferência Internacional sobre Sistemas de Código Aberto</t>
  </si>
  <si>
    <t>OZCHI</t>
  </si>
  <si>
    <t>Australian Conference on Human-Computer Interaction</t>
  </si>
  <si>
    <t>Conferência Australiana sobre Interação Humano-Computador</t>
  </si>
  <si>
    <t>PAAMS</t>
  </si>
  <si>
    <t>International Conference on Practical Applications of Agents, Multi-Agent Systems and Sustainability</t>
  </si>
  <si>
    <t>Conferência Internacional sobre Aplicações Práticas de Agentes, Sistemas Multiagentes e Sustentabilidade</t>
  </si>
  <si>
    <t>PACBB</t>
  </si>
  <si>
    <t>International Conference on Practical Applications of Computational Biology &amp; Bioinformatics</t>
  </si>
  <si>
    <t>Conferência Internacional sobre Aplicações Práticas de Biologia Computacional e Bioinformática</t>
  </si>
  <si>
    <t>PACIS</t>
  </si>
  <si>
    <t>Pacific Asia Conference on Information Systems</t>
  </si>
  <si>
    <t>Conferência da Ásia-Pacífico sobre Sistemas de Informação</t>
  </si>
  <si>
    <t>PACTT</t>
  </si>
  <si>
    <t>International Conference on Parallel Architectures and Compilation Techniques</t>
  </si>
  <si>
    <t>Conferência Internacional sobre Arquiteturas Paralelas e Técnicas de Compilação</t>
  </si>
  <si>
    <t>PAKDD</t>
  </si>
  <si>
    <t>Pacific-Asia Conference on Knowledge Discovery and Data Mining</t>
  </si>
  <si>
    <t>Conferência da Ásia-Pacífico sobre Descoberta de Conhecimento e Mineração de Dados</t>
  </si>
  <si>
    <t>PAM</t>
  </si>
  <si>
    <t>Passive and Active Network Measurement Conference</t>
  </si>
  <si>
    <t>Conferência sobre Medição de Rede Passiva e Ativa</t>
  </si>
  <si>
    <t>PCS</t>
  </si>
  <si>
    <t>Picture Coding Symposium</t>
  </si>
  <si>
    <t>Simpósio de Codificação de Imagem</t>
  </si>
  <si>
    <t>PDP</t>
  </si>
  <si>
    <t>Euromicro International Conference on Parallel, Distributed and Network-Based Processing</t>
  </si>
  <si>
    <t>Conferência Internacional Euromicro sobre Processamento Paralelo, Distribuído e Baseado em Rede</t>
  </si>
  <si>
    <t>PE-WASUN</t>
  </si>
  <si>
    <t>ACM International Symposium on Performance Evaluation of Wireless Ad Hoc, Sensor, and Ubiquitous Networks</t>
  </si>
  <si>
    <t>Simpósio Internacional ACM sobre Avaliação de Desempenho de Redes Sem Fio Ad Hoc, Sensores e Ubíquas</t>
  </si>
  <si>
    <t>PERCOM-E</t>
  </si>
  <si>
    <t>International Conference on Pervasive Computing and Communications Companion</t>
  </si>
  <si>
    <t>Conferência Internacional sobre Computação e Comunicações Pervasivas (Complementar)</t>
  </si>
  <si>
    <t>PERVASIVEHEALTH</t>
  </si>
  <si>
    <t>International Conference on Pervasive Computing Technologies for Healthcare</t>
  </si>
  <si>
    <t>Conferência Internacional sobre Tecnologias de Computação Pervasiva para Saúde</t>
  </si>
  <si>
    <t>PETRA</t>
  </si>
  <si>
    <t>ACM International Conference on PErvasive Technologies Related to Assistive Environments</t>
  </si>
  <si>
    <t>Conferência Internacional ACM sobre Tecnologias Pervasivas Relacionadas a Ambientes Assistivos</t>
  </si>
  <si>
    <t>PIMRC</t>
  </si>
  <si>
    <t>International Symposium on Personal, Indoor and Mobile Radio Communications</t>
  </si>
  <si>
    <t>Simpósio Internacional sobre Comunicações Pessoais, Internas e Rádio Móvel</t>
  </si>
  <si>
    <t>PKC</t>
  </si>
  <si>
    <t>International Conference on Practice and Theory in Public Key Cryptography</t>
  </si>
  <si>
    <t>Conferência Internacional sobre Prática e Teoria em Criptografia de Chave Pública</t>
  </si>
  <si>
    <t>PLOP</t>
  </si>
  <si>
    <t>Conference on Pattern Languages of Programs</t>
  </si>
  <si>
    <t>Conferência sobre Linguagens de Padrões de Programas</t>
  </si>
  <si>
    <t>PODC</t>
  </si>
  <si>
    <t>ACM Symposium on Principles of Distributed Computing</t>
  </si>
  <si>
    <t>Simpósio ACM sobre Princípios de Computação Distribuída</t>
  </si>
  <si>
    <t>PoEM</t>
  </si>
  <si>
    <t>IFIP WG 8.1 Working Conference on the Practice of Enterprise Modelling</t>
  </si>
  <si>
    <t>Conferência de Trabalho IFIP WG 8.1 sobre a Prática de Modelagem Empresarial</t>
  </si>
  <si>
    <t>PPAM</t>
  </si>
  <si>
    <t>International Conference on Parallel Processing and Applied Mathematics</t>
  </si>
  <si>
    <t>Conferência Internacional sobre Processamento Paralelo e Matemática Aplicada</t>
  </si>
  <si>
    <t>PPSN</t>
  </si>
  <si>
    <t>International Conference on Parallel Problem Solving from Nature</t>
  </si>
  <si>
    <t>Conferência Internacional sobre Resolução de Problemas Paralelos a partir da Natureza</t>
  </si>
  <si>
    <t>PRDC</t>
  </si>
  <si>
    <t>Pacific Rim International Symposium on Dependable Computing</t>
  </si>
  <si>
    <t>Simpósio Internacional da Bacia do Pacífico sobre Computação Confiável</t>
  </si>
  <si>
    <t>PRIMA</t>
  </si>
  <si>
    <t>nternational Conference on Principles and Practice of Multi-Agent Systems</t>
  </si>
  <si>
    <t>Conferência Internacional sobre Princípios e Prática de Sistemas Multiagentes</t>
  </si>
  <si>
    <t>PROFES</t>
  </si>
  <si>
    <t>International Conference on Product-Focused Software Process Improvement</t>
  </si>
  <si>
    <t>Conferência Internacional sobre Melhoria de Processo de Software Focada em Produto</t>
  </si>
  <si>
    <t>PROMISE</t>
  </si>
  <si>
    <t>International Conference on Predictive Models and Data Analytics in Software Engineering</t>
  </si>
  <si>
    <t>Conferência Internacional sobre Modelos Preditivos e Análise de Dados em Engenharia de Software</t>
  </si>
  <si>
    <t>PROPOR</t>
  </si>
  <si>
    <t>International Conference on Computational Processing of the Portuguese Language</t>
  </si>
  <si>
    <t>Conferência Internacional sobre Processamento Computacional da Língua Portuguesa</t>
  </si>
  <si>
    <t>PST</t>
  </si>
  <si>
    <t>International Conference on Privacy, Security and Trust</t>
  </si>
  <si>
    <t>Conferência Internacional sobre Privacidade, Segurança e Confiança</t>
  </si>
  <si>
    <t>QoMEX</t>
  </si>
  <si>
    <t>International Workshop on Quality of Multimedia Experience</t>
  </si>
  <si>
    <t>Workshop Internacional sobre Qualidade da Experiência Multimídia</t>
  </si>
  <si>
    <t>QRS</t>
  </si>
  <si>
    <t>IEEE International Conference on Software Quality, Reliability, and Security</t>
  </si>
  <si>
    <t>Conferência Internacional IEEE sobre Qualidade, Confiabilidade e Segurança de Software</t>
  </si>
  <si>
    <t>QUATIC</t>
  </si>
  <si>
    <t>International Conference on Quality of Information and Communications Technology</t>
  </si>
  <si>
    <t>Conferência Internacional sobre Qualidade de Tecnologia da Informação e Comunicação</t>
  </si>
  <si>
    <t>RANLP</t>
  </si>
  <si>
    <t>International Conference on Recent Advances in Natural Language Processing</t>
  </si>
  <si>
    <t>Conferência Internacional sobre Avanços Recentes no Processamento de Linguagem Natural</t>
  </si>
  <si>
    <t>RCIS</t>
  </si>
  <si>
    <t>International Conference on Research Challenges in Information Science</t>
  </si>
  <si>
    <t>Conferência Internacional sobre Desafios de Pesquisa em Ciência da Informação</t>
  </si>
  <si>
    <t>RE</t>
  </si>
  <si>
    <t>IEEE International Requirements Engineering Conference</t>
  </si>
  <si>
    <t>Conferência Internacional IEEE de Engenharia de Requisitos</t>
  </si>
  <si>
    <t>RECSYS</t>
  </si>
  <si>
    <t>ACM Conference on Recommender Systems</t>
  </si>
  <si>
    <t>Conferência ACM sobre Sistemas de Recomendação</t>
  </si>
  <si>
    <t>REFSQ</t>
  </si>
  <si>
    <t>International Working Conference on Requirements Engineering: Foundations for Software Quality</t>
  </si>
  <si>
    <t>Conferência Internacional de Trabalho sobre Engenharia de Requisitos: Fundamentos para Qualidade de Software</t>
  </si>
  <si>
    <t>RO-MAN</t>
  </si>
  <si>
    <t>IEEE International Symposium on Robot and Human Interactive Communication</t>
  </si>
  <si>
    <t>Simpósio Internacional IEEE de Comunicação Interativa entre Robôs e Humanos</t>
  </si>
  <si>
    <t>ROBOCUP</t>
  </si>
  <si>
    <t>Robocup International Symposium</t>
  </si>
  <si>
    <t>Simpósio Internacional Robocup</t>
  </si>
  <si>
    <t>ROBOT</t>
  </si>
  <si>
    <t>Iberian Robotics Conference</t>
  </si>
  <si>
    <t>Conferência Ibérica de Robótica</t>
  </si>
  <si>
    <t>RTAS</t>
  </si>
  <si>
    <t>IEEE REAL-TIME AND EMBEDDED TECHNOLOGY AND APPLICATIONS SYMPOSIUM</t>
  </si>
  <si>
    <t>Simpósio IEEE de Tecnologia e Aplicações em Tempo Real e Embarcadas</t>
  </si>
  <si>
    <t>RTSS</t>
  </si>
  <si>
    <t>Real-Time Systems Symposium</t>
  </si>
  <si>
    <t>Simpósio de Sistemas de Tempo Real</t>
  </si>
  <si>
    <t>RuleML+RR</t>
  </si>
  <si>
    <t>International Joint Conference on Rules and Reasoning</t>
  </si>
  <si>
    <t>Conferência Internacional Conjunta sobre Regras e Raciocínio</t>
  </si>
  <si>
    <t>SAC</t>
  </si>
  <si>
    <t>ACM Symposium on Applied Computing</t>
  </si>
  <si>
    <t>Simpósio ACM sobre Computação Aplicada</t>
  </si>
  <si>
    <t>SACI</t>
  </si>
  <si>
    <t>IEEE International Symposium on Applied Computational Intelligence and Informatics</t>
  </si>
  <si>
    <t>Simpósio Internacional IEEE de Inteligência Computacional Aplicada e Informática</t>
  </si>
  <si>
    <t>SAMOS</t>
  </si>
  <si>
    <t>International Conference on Embedded Computer Systems: Architectures, Modeling and Simulation</t>
  </si>
  <si>
    <t>Conferência Internacional sobre Sistemas de Computação Embarcados: Arquiteturas, Modelagem e Simulação</t>
  </si>
  <si>
    <t>SANER</t>
  </si>
  <si>
    <t>IEEE International Conference on Software Analysis, Evolution and Reengineering</t>
  </si>
  <si>
    <t>Conferência Internacional IEEE sobre Análise, Evolução e Reengenharia de Software</t>
  </si>
  <si>
    <t>SAS</t>
  </si>
  <si>
    <t>IEEE Sensors Applications Symposium</t>
  </si>
  <si>
    <t>Simpósio de Aplicações de Sensores IEEE</t>
  </si>
  <si>
    <t>SAST</t>
  </si>
  <si>
    <t>Brazilian Symposium on Systematic and Automated Software Testing</t>
  </si>
  <si>
    <t>Simpósio Brasileiro de Testes de Software Sistemáticos e Automatizados</t>
  </si>
  <si>
    <t>SBAC-PAD</t>
  </si>
  <si>
    <t>International Symposium on Computer Architecture and High Performance Computing</t>
  </si>
  <si>
    <t>Simpósio Internacional sobre Arquitetura de Computadores e Computação de Alto Desempenho</t>
  </si>
  <si>
    <t>SBAI</t>
  </si>
  <si>
    <t>Simpósio Brasileiro de Automação Inteligente</t>
  </si>
  <si>
    <t>Brazilian Symposium on Intelligent Automation</t>
  </si>
  <si>
    <t>SBBD</t>
  </si>
  <si>
    <t>Simpósio Brasileiro de Banco de Dados</t>
  </si>
  <si>
    <t>Brazilian Symposium on Databases</t>
  </si>
  <si>
    <t>SBCARS</t>
  </si>
  <si>
    <t>Brazilian Symposium on Components, Architectures and Reuse Software</t>
  </si>
  <si>
    <t>Simpósio Brasileiro de Componentes, Arquiteturas e Reuso de Software</t>
  </si>
  <si>
    <t>SBCAS</t>
  </si>
  <si>
    <t>Simpósio Brasileiro de Computação Aplicada à Saúde</t>
  </si>
  <si>
    <t>Brazilian Symposium on Computing Applied to Health</t>
  </si>
  <si>
    <t>SBCCI</t>
  </si>
  <si>
    <t>Symposium on Integrated Circuits and Systems Design</t>
  </si>
  <si>
    <t>Simpósio sobre Design de Circuitos e Sistemas Integrados</t>
  </si>
  <si>
    <t>SBCM</t>
  </si>
  <si>
    <t>Simpósio Brasileiro de Computação Musical</t>
  </si>
  <si>
    <t>Brazilian Symposium on Computer Music</t>
  </si>
  <si>
    <t>SBCUP</t>
  </si>
  <si>
    <t>Simpósio Brasileiro de Computação Ubíqua e Pervasiva</t>
  </si>
  <si>
    <t>Brazilian Symposium on Ubiquitous and Pervasive Computing</t>
  </si>
  <si>
    <t>SBES</t>
  </si>
  <si>
    <t>Brazilian Symposium on Software Engineering</t>
  </si>
  <si>
    <t>Simpósio Brasileiro de Engenharia de Software</t>
  </si>
  <si>
    <t>SBESC</t>
  </si>
  <si>
    <t>Symposium on Computing Systems Engineering</t>
  </si>
  <si>
    <t>Simpósio sobre Engenharia de Sistemas Computacionais</t>
  </si>
  <si>
    <t>SBGAMES</t>
  </si>
  <si>
    <t>Simpósio Brasileiro de Jogos e Entretenimento Digital</t>
  </si>
  <si>
    <t>Brazilian Symposium on Games and Digital Entertainment</t>
  </si>
  <si>
    <t>SBGAMES-E</t>
  </si>
  <si>
    <t>Simpósio Brasileiro de Jogos e Entretenimento Digital Companion</t>
  </si>
  <si>
    <t>Simpósio Brasileiro de Jogos e Entretenimento Digital (Complementar)</t>
  </si>
  <si>
    <t>SBIAGRO</t>
  </si>
  <si>
    <t>Congresso Brasileiro de Agroinformática</t>
  </si>
  <si>
    <t>Brazilian Congress on Agroinformatics</t>
  </si>
  <si>
    <t>SBIE</t>
  </si>
  <si>
    <t>Simpósio Brasileiro de Informática na Educação</t>
  </si>
  <si>
    <t>Brazilian Symposium on Informatics in Education</t>
  </si>
  <si>
    <t>SBLP</t>
  </si>
  <si>
    <t>Brazilian Symposium on Programming Languages</t>
  </si>
  <si>
    <t>Simpósio Brasileiro de Linguagens de Programação</t>
  </si>
  <si>
    <t>SBMF</t>
  </si>
  <si>
    <t>Brazilian Symposium on Formal Methods</t>
  </si>
  <si>
    <t>Simpósio Brasileiro de Métodos Formais</t>
  </si>
  <si>
    <t>SBMICRO</t>
  </si>
  <si>
    <t>Symposium on Microelectronics Technology and Devices</t>
  </si>
  <si>
    <t>Simpósio sobre Tecnologia e Dispositivos de Microeletrônica</t>
  </si>
  <si>
    <t>SBPO</t>
  </si>
  <si>
    <t>Simpósio Brasileiro de Pesquisa Operacional</t>
  </si>
  <si>
    <t>Brazilian Symposium on Operations Research</t>
  </si>
  <si>
    <t>SBQS</t>
  </si>
  <si>
    <t>Simpósio Brasileiro de Qualidade de Software</t>
  </si>
  <si>
    <t>Brazilian Symposium on Software Quality</t>
  </si>
  <si>
    <t>SBRC</t>
  </si>
  <si>
    <t>Simpósio Brasileiro de Redes de Computadores e Sistemas Distribuídos</t>
  </si>
  <si>
    <t>Brazilian Symposium on Computer Networks and Distributed Systems</t>
  </si>
  <si>
    <t>SBrT</t>
  </si>
  <si>
    <t>Simpósio Brasileiro de Telecomunicações e Processamento de Sinais</t>
  </si>
  <si>
    <t>Brazilian Symposium on Telecommunications and Signal Processing</t>
  </si>
  <si>
    <t>SBSC</t>
  </si>
  <si>
    <t>Simpósio Brasileiro de Sistemas Colaborativos</t>
  </si>
  <si>
    <t>Brazilian Symposium on Collaborative Systems</t>
  </si>
  <si>
    <t>SBSE</t>
  </si>
  <si>
    <t>Simpósio Brasileiro de Sistemas Elétricos</t>
  </si>
  <si>
    <t>Brazilian Symposium on Electric Systems</t>
  </si>
  <si>
    <t>SBSeg</t>
  </si>
  <si>
    <t>Simpósio Brasileiro de Segurança da Informação e de Sistemas Computacionais</t>
  </si>
  <si>
    <t>Brazilian Symposium on Information and Computer Systems Security</t>
  </si>
  <si>
    <t>SBSI</t>
  </si>
  <si>
    <t>Simpósio Brasileiro de Sistemas de Informação</t>
  </si>
  <si>
    <t>Brazilian Symposium on Information Systems</t>
  </si>
  <si>
    <t>SBSI-E</t>
  </si>
  <si>
    <t>Simpósio Brasileiro de Sistemas de Informação Companion</t>
  </si>
  <si>
    <t>Brazilian Symposium on Information Systems (Complementar)</t>
  </si>
  <si>
    <t>SBSR</t>
  </si>
  <si>
    <t>Simpósio Brasileiro de Sensoriamento Remoto</t>
  </si>
  <si>
    <t>Brazilian Symposium on Remote Sensing</t>
  </si>
  <si>
    <t>SC</t>
  </si>
  <si>
    <t>International Conference for High Performance Computing, Networking, Storage and Analysis</t>
  </si>
  <si>
    <t>Conferência Internacional de Computação de Alto Desempenho, Redes, Armazenamento e Análise</t>
  </si>
  <si>
    <t>SCAM</t>
  </si>
  <si>
    <t>IEEE International Working Conference on Source Code Analysis and Manipulation</t>
  </si>
  <si>
    <t>Conferência Internacional de Trabalho IEEE sobre Análise e Manipulação de Código Fonte</t>
  </si>
  <si>
    <t>SCCC</t>
  </si>
  <si>
    <t>International Conference of the Chilean Computer Science Society</t>
  </si>
  <si>
    <t>Conferência Internacional da Sociedade Chilena de Ciência da Computação</t>
  </si>
  <si>
    <t>SCS</t>
  </si>
  <si>
    <t>Symposium on Combinatorial Search</t>
  </si>
  <si>
    <t>Simpósio sobre Busca Combinatória</t>
  </si>
  <si>
    <t>SDM</t>
  </si>
  <si>
    <t>SIAM International Conference on Data Mining</t>
  </si>
  <si>
    <t>Conferência Internacional SIAM sobre Mineração de Dados</t>
  </si>
  <si>
    <t>SDS</t>
  </si>
  <si>
    <t>International Conference on Software Defined Systems</t>
  </si>
  <si>
    <t>Conferência Internacional sobre Sistemas Definidos por Software</t>
  </si>
  <si>
    <t>SDSS</t>
  </si>
  <si>
    <t>Spatial Data Science Symposium</t>
  </si>
  <si>
    <t>Simpósio de Ciência de Dados Espaciais</t>
  </si>
  <si>
    <t>SEA</t>
  </si>
  <si>
    <t>International Symposium on Experimental Algorithms</t>
  </si>
  <si>
    <t>Simpósio Internacional sobre Algoritmos Experimentais</t>
  </si>
  <si>
    <t>SEAA</t>
  </si>
  <si>
    <t>Euromicro Conference on Software Engineering and Advanced Applications</t>
  </si>
  <si>
    <t>Conferência Euromicro sobre Engenharia de Software e Aplicações Avançadas</t>
  </si>
  <si>
    <t>SEAMS</t>
  </si>
  <si>
    <t>International Symposium on Software Engineering for Adaptive and Self-Managing Systems</t>
  </si>
  <si>
    <t>Simpósio Internacional sobre Engenharia de Software para Sistemas Adaptativos e Auto-Gerenciáveis</t>
  </si>
  <si>
    <t>SECRYPT</t>
  </si>
  <si>
    <t>International Conference on Security and Cryptography</t>
  </si>
  <si>
    <t>Conferência Internacional sobre Segurança e Criptografia</t>
  </si>
  <si>
    <t>SEFM</t>
  </si>
  <si>
    <t>International Conference on Software Engineering and Formal Methods</t>
  </si>
  <si>
    <t>Conferência Internacional sobre Engenharia de Software e Métodos Formais</t>
  </si>
  <si>
    <t>SEGAH</t>
  </si>
  <si>
    <t>International Conference on Serious Games and Applications for Health</t>
  </si>
  <si>
    <t>Conferência Internacional sobre Jogos Sérios e Aplicações para a Saúde</t>
  </si>
  <si>
    <t>SEH</t>
  </si>
  <si>
    <t>International Workshop on Software Engineering in Healthcare</t>
  </si>
  <si>
    <t>Workshop Internacional sobre Engenharia de Software na Saúde</t>
  </si>
  <si>
    <t>SEKE</t>
  </si>
  <si>
    <t>International Conference on Software Engineering and Knowledge Engineering</t>
  </si>
  <si>
    <t>Conferência Internacional sobre Engenharia de Software e Engenharia de Conhecimento</t>
  </si>
  <si>
    <t>SEMEVAL</t>
  </si>
  <si>
    <t>International Workshop on Semantic Evaluation</t>
  </si>
  <si>
    <t>Workshop Internacional sobre Avaliação Semântica</t>
  </si>
  <si>
    <t>SEMISH</t>
  </si>
  <si>
    <t>Seminário Integrado de Software e Hardware</t>
  </si>
  <si>
    <t>Integrated Seminar on Software and Hardware</t>
  </si>
  <si>
    <t>SEPLN</t>
  </si>
  <si>
    <t>CONFERENCE OF THE SPANISH SOCIETY FOR NATURAL LANGUAGE PROCESSING</t>
  </si>
  <si>
    <t>Conferência da Sociedade Espanhola de Processamento de Linguagem Natural</t>
  </si>
  <si>
    <t>SER&amp;IP</t>
  </si>
  <si>
    <t>IEEE/ACM International Workshop on Software Engineering Research and Industrial Practice</t>
  </si>
  <si>
    <t>Workshop Internacional IEEE/ACM sobre Pesquisa em Engenharia de Software e Prática Industrial</t>
  </si>
  <si>
    <t>SERP4IOT</t>
  </si>
  <si>
    <t>International Workshop on Software Engineering Research &amp; Practices for the Internet of Things</t>
  </si>
  <si>
    <t>Workshop Internacional sobre Pesquisa e Práticas de Engenharia de Software para a Internet das Coisas</t>
  </si>
  <si>
    <t>SESoS</t>
  </si>
  <si>
    <t>International Workshop on Software Engineering for Systems-of-Systems and Software Ecosystems</t>
  </si>
  <si>
    <t>Workshop Internacional sobre Engenharia de Software para Sistemas de Sistemas e Ecossistemas de Software</t>
  </si>
  <si>
    <t>SIBGRAPI</t>
  </si>
  <si>
    <t>Conference on Graphics, Patterns and Images</t>
  </si>
  <si>
    <t>Conferência sobre Gráficos, Padrões e Imagens</t>
  </si>
  <si>
    <t>SIGCSE</t>
  </si>
  <si>
    <t>ACM Technical Symposium on Computer Science Education</t>
  </si>
  <si>
    <t>Simpósio Técnico ACM sobre Educação em Ciência da Computação</t>
  </si>
  <si>
    <t>SIGDOC</t>
  </si>
  <si>
    <t>ACM International Conference on Design of Communication</t>
  </si>
  <si>
    <t>Conferência Internacional ACM sobre Design de Comunicação</t>
  </si>
  <si>
    <t>SIGGRAPH</t>
  </si>
  <si>
    <t>International Conference and Exibition on Computer Graphics and Interactive Techniques</t>
  </si>
  <si>
    <t>Conferência e Exposição Internacional sobre Computação Gráfica e Técnicas Interativas</t>
  </si>
  <si>
    <t>SIGGRAPH Asia</t>
  </si>
  <si>
    <t>ACM International Conference on Computer Graphics &amp; Interactive Techniques / Asia</t>
  </si>
  <si>
    <t>Conferência Internacional ACM sobre Computação Gráfica e Técnicas Interativas / Ásia</t>
  </si>
  <si>
    <t>SIGIR</t>
  </si>
  <si>
    <t>International ACM SIGIR Conference on Research and Development in Information Retrieval</t>
  </si>
  <si>
    <t>Conferência Internacional ACM SIGIR sobre Pesquisa e Desenvolvimento em Recuperação de Informação</t>
  </si>
  <si>
    <t>SIGMETRICS</t>
  </si>
  <si>
    <t>International Conference on Measurement and Modeling of Computer Systems</t>
  </si>
  <si>
    <t>Conferência Internacional sobre Medição e Modelagem de Sistemas Computacionais</t>
  </si>
  <si>
    <t>SIGSPATIAL</t>
  </si>
  <si>
    <t>ACM SIGSPATIAL International Conference on Advances in Geographic Information Systems</t>
  </si>
  <si>
    <t>Conferência Internacional ACM SIGSPATIAL sobre Avanços em Sistemas de Informação Geográfica</t>
  </si>
  <si>
    <t>SIIE</t>
  </si>
  <si>
    <t>Simpósio Internacional de Informática Educatica</t>
  </si>
  <si>
    <t>International Symposium on Educational Informatics</t>
  </si>
  <si>
    <t>SIMBIG</t>
  </si>
  <si>
    <t>Annual International Symposium on Information Management and Big Data</t>
  </si>
  <si>
    <t>Simpósio Internacional Anual sobre Gestão da Informação e Big Data</t>
  </si>
  <si>
    <t>SIMULTECH</t>
  </si>
  <si>
    <t>International Conference on Simulation and Modeling Methodologies, Technologies and Applications</t>
  </si>
  <si>
    <t>Conferência Internacional sobre Metodologias, Tecnologias e Aplicações de Simulação e Modelagem</t>
  </si>
  <si>
    <t>SIMUTOOLS</t>
  </si>
  <si>
    <t>EAI International Conference on Simulation Tools and Techniques</t>
  </si>
  <si>
    <t>Conferência Internacional EAI sobre Ferramentas e Técnicas de Simulação</t>
  </si>
  <si>
    <t>SIPAIM</t>
  </si>
  <si>
    <t>International Symposium on Medical Information Processing and Analysis</t>
  </si>
  <si>
    <t>Simpósio Internacional sobre Processamento e Análise de Informações Médicas</t>
  </si>
  <si>
    <t>SISAP</t>
  </si>
  <si>
    <t>International Conference on Similarity Search and Applications</t>
  </si>
  <si>
    <t>Conferência Internacional sobre Busca por Similaridade e Aplicações</t>
  </si>
  <si>
    <t>SLATE</t>
  </si>
  <si>
    <t>Symposium on Languages, Applications and Technologies</t>
  </si>
  <si>
    <t>Simpósio sobre Linguagens, Aplicações e Tecnologias</t>
  </si>
  <si>
    <t>SMARTCOMP</t>
  </si>
  <si>
    <t>International Conference on Smart Computing</t>
  </si>
  <si>
    <t>Conferência Internacional sobre Computação Inteligente</t>
  </si>
  <si>
    <t>SMARTGRIDCOMM</t>
  </si>
  <si>
    <t>IEEE International Conference on Smart Grid Communications</t>
  </si>
  <si>
    <t>Conferência Internacional IEEE sobre Comunicações de Redes Inteligentes</t>
  </si>
  <si>
    <t>SMC</t>
  </si>
  <si>
    <t>IEEE International Conference on Systems, Man and Cybernetics</t>
  </si>
  <si>
    <t>Conferência Internacional IEEE sobre Sistemas, Homem e Cibernética</t>
  </si>
  <si>
    <t>SOCINFO</t>
  </si>
  <si>
    <t>International Conference on Social Informatics</t>
  </si>
  <si>
    <t>Conferência Internacional sobre Informática Social</t>
  </si>
  <si>
    <t>SODA</t>
  </si>
  <si>
    <t>ACM-SIAM Symposium on Discrete Algorithms</t>
  </si>
  <si>
    <t>Simpósio ACM-SIAM sobre Algoritmos Discretos</t>
  </si>
  <si>
    <t>SOFSEM</t>
  </si>
  <si>
    <t>International Conference on Current Trends in Theory and Practice of Computer Science</t>
  </si>
  <si>
    <t>Conferência Internacional sobre Tendências Atuais na Teoria e Prática da Ciência da Computação</t>
  </si>
  <si>
    <t>SOFTCOM</t>
  </si>
  <si>
    <t>International Conference on Software, Telecommunications and Computer Networks</t>
  </si>
  <si>
    <t>Conferência Internacional sobre Software, Telecomunicações e Redes de Computadores</t>
  </si>
  <si>
    <t>SOSA</t>
  </si>
  <si>
    <t>Siam Symposium on Simplicity in Algorithms</t>
  </si>
  <si>
    <t>Simpósio SIAM sobre Simplicidade em Algoritmos</t>
  </si>
  <si>
    <t>SOSEC</t>
  </si>
  <si>
    <t>IEEE Annual System of Systems Engineering Conference</t>
  </si>
  <si>
    <t>Conferência Anual IEEE de Engenharia de Sistemas de Sistemas</t>
  </si>
  <si>
    <t>SOSR</t>
  </si>
  <si>
    <t>Symposium on Software Defined Networking Research</t>
  </si>
  <si>
    <t>Simpósio sobre Pesquisa em Redes Definidas por Software</t>
  </si>
  <si>
    <t>SPATIALGEMS</t>
  </si>
  <si>
    <t>ACM SIGSPATIAL International Workshop on Spatial Gems</t>
  </si>
  <si>
    <t>Workshop Internacional ACM SIGSPATIAL sobre Joias Espaciais</t>
  </si>
  <si>
    <t>SPIE</t>
  </si>
  <si>
    <t>Proceedings of SPIE--The International Society for Optical Engineering</t>
  </si>
  <si>
    <t>Anais da SPIE--A Sociedade Internacional de Engenharia Óptica</t>
  </si>
  <si>
    <t>SPIEMI</t>
  </si>
  <si>
    <t>Medical Imaging: Image Processing</t>
  </si>
  <si>
    <t>Imagem Médica: Processamento de Imagem</t>
  </si>
  <si>
    <t>SPIRE</t>
  </si>
  <si>
    <t>International Symposium on String Processing and Information Retrieval</t>
  </si>
  <si>
    <t>Simpósio Internacional sobre Processamento de Strings e Recuperação de Informação</t>
  </si>
  <si>
    <t>SPLC</t>
  </si>
  <si>
    <t>International Software Product Line Conference</t>
  </si>
  <si>
    <t>Conferência Internacional de Linha de Produtos de Software</t>
  </si>
  <si>
    <t>SPLITECH</t>
  </si>
  <si>
    <t>International Conference on Smart and Sustainable Technologies</t>
  </si>
  <si>
    <t>Conferência Internacional sobre Tecnologias Inteligentes e Sustentáveis</t>
  </si>
  <si>
    <t>SRDS</t>
  </si>
  <si>
    <t>IEEE Symposium on Reliable Distributed Systems</t>
  </si>
  <si>
    <t>Simpósio IEEE sobre Sistemas Distribuídos Confiáveis</t>
  </si>
  <si>
    <t>SSCAD</t>
  </si>
  <si>
    <t>Simpósio em Sistemas Computacionais de Alto Desempenho</t>
  </si>
  <si>
    <t>Symposium on High Performance Computer Systems</t>
  </si>
  <si>
    <t>SSCI</t>
  </si>
  <si>
    <t>IEEE Symposium Series on Computational Intelligence</t>
  </si>
  <si>
    <t>Série de Simpósios IEEE sobre Inteligência Computacional</t>
  </si>
  <si>
    <t>SSDBM</t>
  </si>
  <si>
    <t>International Conference on Scientific and Statistical Database Management</t>
  </si>
  <si>
    <t>Conferência Internacional sobre Gestão de Bancos de Dados Científicos e Estatísticos</t>
  </si>
  <si>
    <t>SSE</t>
  </si>
  <si>
    <t>IEEE International Conference on Software Services Engineering</t>
  </si>
  <si>
    <t>Conferência Internacional IEEE sobre Engenharia de Serviços de Software</t>
  </si>
  <si>
    <t>SSIAI</t>
  </si>
  <si>
    <t>Southwest Symposium on Image Analysis and Interpretation</t>
  </si>
  <si>
    <t>Simpósio Sudoeste sobre Análise e Interpretação de Imagem</t>
  </si>
  <si>
    <t>STIL</t>
  </si>
  <si>
    <t>Brazilian Symposium in Information and Human Language Technology</t>
  </si>
  <si>
    <t>Simpósio Brasileiro de Tecnologia da Informação e Linguagem Humana</t>
  </si>
  <si>
    <t>STOC</t>
  </si>
  <si>
    <t>ACM Symposium on Theory of Computing</t>
  </si>
  <si>
    <t>Simpósio ACM sobre Teoria da Computação</t>
  </si>
  <si>
    <t>SVR</t>
  </si>
  <si>
    <t>Symposium on Virtual and Augmented Reality</t>
  </si>
  <si>
    <t>Simpósio sobre Realidade Virtual e Aumentada</t>
  </si>
  <si>
    <t>SWQD</t>
  </si>
  <si>
    <t>Conference Software Quality Days</t>
  </si>
  <si>
    <t>Conferência de Dias de Qualidade de Software</t>
  </si>
  <si>
    <t>SYSCON</t>
  </si>
  <si>
    <t>IEEE International Systems Conference</t>
  </si>
  <si>
    <t>Conferência Internacional IEEE de Sistemas</t>
  </si>
  <si>
    <t>TABLEAUX</t>
  </si>
  <si>
    <t>International Conference on Automated Reasoning with Analytic Tableaux and Related Methods</t>
  </si>
  <si>
    <t>Conferência Internacional sobre Raciocínio Automatizado com Tableaux Analíticos e Métodos Relacionados</t>
  </si>
  <si>
    <t>TACAS</t>
  </si>
  <si>
    <t>International Conference on Tools and Algorithms for the Construction and Analysis of Systems</t>
  </si>
  <si>
    <t>Conferência Internacional sobre Ferramentas e Algoritmos para a Construção e Análise de Sistemas</t>
  </si>
  <si>
    <t>TASE</t>
  </si>
  <si>
    <t>Theoretical Aspects of Software Engineering</t>
  </si>
  <si>
    <t>Aspectos Teóricos da Engenharia de Software</t>
  </si>
  <si>
    <t>TECHDEBT</t>
  </si>
  <si>
    <t>International Conference on Technical Debt</t>
  </si>
  <si>
    <t>Conferência Internacional sobre Dívida Técnica</t>
  </si>
  <si>
    <t>TEEM</t>
  </si>
  <si>
    <t>Technological Ecosystems for Enhancing Multiculturality</t>
  </si>
  <si>
    <t>Ecossistemas Tecnológicos para Melhorar a Multiculturalidade</t>
  </si>
  <si>
    <t>TISE</t>
  </si>
  <si>
    <t>Congreso Internacional de Informática Educativa</t>
  </si>
  <si>
    <t>International Congress on Educational Informatics</t>
  </si>
  <si>
    <t>TMA</t>
  </si>
  <si>
    <t>The Network Traffic Measurement and Analysis Conference</t>
  </si>
  <si>
    <t>Conferência de Medição e Análise de Tráfego de Rede</t>
  </si>
  <si>
    <t>TRUST</t>
  </si>
  <si>
    <t>International Workshop on Trust in Agent societies</t>
  </si>
  <si>
    <t>Workshop Internacional sobre Confiança em Sociedades de Agentes</t>
  </si>
  <si>
    <t>TRUSTCOM</t>
  </si>
  <si>
    <t>International Conference on Trust, Security and Privacy in Computing and Communications</t>
  </si>
  <si>
    <t>Conferência Internacional sobre Confiança, Segurança e Privacidade em Computação e Comunicações</t>
  </si>
  <si>
    <t>TSD</t>
  </si>
  <si>
    <t>International Conference on Text, Speech and Dialogue</t>
  </si>
  <si>
    <t>Conferência Internacional sobre Texto, Fala e Diálogo</t>
  </si>
  <si>
    <t>UBIMUS</t>
  </si>
  <si>
    <t>Workshop de Música Ubíqua</t>
  </si>
  <si>
    <t>Workshop on Ubiquitous Music</t>
  </si>
  <si>
    <t>UCC</t>
  </si>
  <si>
    <t>IEEE/ACM International Conference on Utility and Cloud Computing</t>
  </si>
  <si>
    <t>Conferência Internacional IEEE/ACM sobre Computação em Nuvem e Utilidade</t>
  </si>
  <si>
    <t>UMAP</t>
  </si>
  <si>
    <t>ACM Conference on User Modeling, Adaptation and Personalization</t>
  </si>
  <si>
    <t>Conferência ACM sobre Modelagem de Usuário, Adaptação e Personalização</t>
  </si>
  <si>
    <t>UNIF</t>
  </si>
  <si>
    <t>International Workshop on Unification</t>
  </si>
  <si>
    <t>Workshop Internacional sobre Unificação</t>
  </si>
  <si>
    <t>USIHC</t>
  </si>
  <si>
    <t>Congresso Internacional de Ergonomia e Usabilidade de Interfaces Humano Computador</t>
  </si>
  <si>
    <t>International Congress on Ergonomics and Usability of Human-Computer Interfaces</t>
  </si>
  <si>
    <t>VAMOS</t>
  </si>
  <si>
    <t>International Workshop on Variability Modelling of Software-intensive Systems</t>
  </si>
  <si>
    <t>Workshop Internacional sobre Modelagem de Variabilidade de Sistemas Intensivos em Software</t>
  </si>
  <si>
    <t>VCIP</t>
  </si>
  <si>
    <t>IEEE International Conference on Visual Communications and Image Processing</t>
  </si>
  <si>
    <t>Conferência Internacional IEEE sobre Comunicações Visuais e Processamento de Imagens</t>
  </si>
  <si>
    <t>VEM</t>
  </si>
  <si>
    <t>Workshop on Software Visualization, Evolution and Maintenance</t>
  </si>
  <si>
    <t>Workshop sobre Visualização, Evolução e Manutenção de Software</t>
  </si>
  <si>
    <t>VIDEOJOGOS</t>
  </si>
  <si>
    <t>Conference on Videogame Sciences and Arts</t>
  </si>
  <si>
    <t>Conferência sobre Ciências e Artes de Videogames</t>
  </si>
  <si>
    <t>VISAPP</t>
  </si>
  <si>
    <t>International Conference on Computer Vision Theory and Applications</t>
  </si>
  <si>
    <t>Conferência Internacional sobre Teoria e Aplicações de Visão Computacional</t>
  </si>
  <si>
    <t>VISIGRAPP</t>
  </si>
  <si>
    <t>Conference on Computer Vision, Imaging and Computer Graphics Theory and Applications</t>
  </si>
  <si>
    <t>Conferência sobre Visão Computacional, Imagem e Teoria e Aplicações de Computação Gráfica</t>
  </si>
  <si>
    <t>VISSOFT</t>
  </si>
  <si>
    <t>IEEE Working Conference on Software Visualization</t>
  </si>
  <si>
    <t>Conferência de Trabalho IEEE sobre Visualização de Software</t>
  </si>
  <si>
    <t>VLHCC</t>
  </si>
  <si>
    <t>IEEE Symposium on Visual Languages and Human-Centric Computing</t>
  </si>
  <si>
    <t>Simpósio IEEE sobre Linguagens Visuais e Computação Centrada no Humano</t>
  </si>
  <si>
    <t>VLSI-SOC</t>
  </si>
  <si>
    <t>IEEE/IFIP International Conference on VLSI and System-on-Chip</t>
  </si>
  <si>
    <t>Conferência Internacional IEEE/IFIP sobre VLSI e Sistema em um Chip</t>
  </si>
  <si>
    <t>VNC</t>
  </si>
  <si>
    <t>IEEE Vehicular Networking Conference</t>
  </si>
  <si>
    <t>Conferência IEEE de Redes Veiculares</t>
  </si>
  <si>
    <t>VR</t>
  </si>
  <si>
    <t>IEEE Conference Virtual Reality and 3D User Interfaces</t>
  </si>
  <si>
    <t>Conferência IEEE sobre Realidade Virtual e Interfaces de Usuário 3D</t>
  </si>
  <si>
    <t>VRST</t>
  </si>
  <si>
    <t>ACM Symposium on Virtual Reality Software and Technology</t>
  </si>
  <si>
    <t>Simpósio ACM sobre Software e Tecnologia de Realidade Virtual</t>
  </si>
  <si>
    <t>VTC</t>
  </si>
  <si>
    <t>Vehicular Technology Conference</t>
  </si>
  <si>
    <t>Conferência de Tecnologia Veicular</t>
  </si>
  <si>
    <t>VTS</t>
  </si>
  <si>
    <t>IEEE VLSI Test Symposium</t>
  </si>
  <si>
    <t>Simpósio de Testes VLSI IEEE</t>
  </si>
  <si>
    <t>W4A</t>
  </si>
  <si>
    <t>Conference on Web Accessibility</t>
  </si>
  <si>
    <t>Conferência sobre Acessibilidade Web</t>
  </si>
  <si>
    <t>WABI</t>
  </si>
  <si>
    <t>Workshop on Algorithms in Bioinformatics</t>
  </si>
  <si>
    <t>Workshop sobre Algoritmos em Bioinformática</t>
  </si>
  <si>
    <t>WAC</t>
  </si>
  <si>
    <t>Web Audio Conference</t>
  </si>
  <si>
    <t>Conferência de Áudio Web</t>
  </si>
  <si>
    <t>WACV</t>
  </si>
  <si>
    <t>Workshop on Applications of Computer Vision</t>
  </si>
  <si>
    <t>Workshop sobre Aplicações de Visão Computacional</t>
  </si>
  <si>
    <t>WAIHCWS</t>
  </si>
  <si>
    <t>Workshop sobre Aspectos da Interação Humano-Computador para a Web Social</t>
  </si>
  <si>
    <t>Workshop on Aspects of Human-Computer Interaction for the Social Web</t>
  </si>
  <si>
    <t>WALCOM</t>
  </si>
  <si>
    <t>International Workshop on Algorithms and Computation</t>
  </si>
  <si>
    <t>Workshop Internacional sobre Algoritmos e Computação</t>
  </si>
  <si>
    <t>WAOA</t>
  </si>
  <si>
    <t>Workshop on Approximation and Online Algorithms</t>
  </si>
  <si>
    <t>Workshop sobre Algoritmos de Aproximação e Online</t>
  </si>
  <si>
    <t>WASHES</t>
  </si>
  <si>
    <t>Workshop sobre Aspectos Sociais, Humanos e Econômicos de Software</t>
  </si>
  <si>
    <t>Workshop on Social, Human and Economic Aspects of Software</t>
  </si>
  <si>
    <t>WASSA</t>
  </si>
  <si>
    <t>Workshop on Computational Approaches to Subjectivity, Sentiment and Social Media Analysis</t>
  </si>
  <si>
    <t>Workshop sobre Abordagens Computacionais para Subjetividade, Sentimento e Análise de Mídia Social</t>
  </si>
  <si>
    <t>WAVE</t>
  </si>
  <si>
    <t>Workshop on Advanced Virtual Environments and Education</t>
  </si>
  <si>
    <t>Workshop sobre Ambientes Virtuais Avançados e Educação</t>
  </si>
  <si>
    <t>WBCI</t>
  </si>
  <si>
    <t>Workshop Brasileiro de Cidades Inteligentes</t>
  </si>
  <si>
    <t>Brazilian Workshop on Smart Cities</t>
  </si>
  <si>
    <t>WBL</t>
  </si>
  <si>
    <t>Workshop Brasileiro de Lógica</t>
  </si>
  <si>
    <t>Brazilian Workshop on Logic</t>
  </si>
  <si>
    <t>WBLOCKCHAIN</t>
  </si>
  <si>
    <t>Workshop em Blockchain: Teoria, Tecnologias e Aplicações</t>
  </si>
  <si>
    <t>Workshop on Blockchain: Theory, Technologies and Applications</t>
  </si>
  <si>
    <t>WBMA</t>
  </si>
  <si>
    <t>Workshop Brasileiro de Métodos Ágeis</t>
  </si>
  <si>
    <t>Brazilian Workshop on Agile Methods</t>
  </si>
  <si>
    <t>WCAMA</t>
  </si>
  <si>
    <t>Workshop de Computação Aplicada à Gestão do Meio Ambiente e Recursos Naturais</t>
  </si>
  <si>
    <t>Workshop on Computing Applied to Environmental and Natural Resource Management</t>
  </si>
  <si>
    <t>WCAS</t>
  </si>
  <si>
    <t>Workshop on Circuits and Systems Design</t>
  </si>
  <si>
    <t>Workshop sobre Design de Circuitos e Sistemas</t>
  </si>
  <si>
    <t>WCGE</t>
  </si>
  <si>
    <t>Workshop de Computação Aplicada ao Governo Eletrônico</t>
  </si>
  <si>
    <t>Workshop on Computing Applied to E-Government</t>
  </si>
  <si>
    <t>WCNC</t>
  </si>
  <si>
    <t>IEEE Wireless Communications and Networking Conference</t>
  </si>
  <si>
    <t>Conferência IEEE de Comunicações e Redes Sem Fio</t>
  </si>
  <si>
    <t>WCNPS</t>
  </si>
  <si>
    <t>Workshop on Communication Networks and Power Systems</t>
  </si>
  <si>
    <t>Workshop sobre Redes de Comunicação e Sistemas de Energia</t>
  </si>
  <si>
    <t>WD</t>
  </si>
  <si>
    <t>Wireless Days Conference</t>
  </si>
  <si>
    <t>Conferência Wireless Days</t>
  </si>
  <si>
    <t>WEB3D</t>
  </si>
  <si>
    <t>International Conference on 3D Web Technology</t>
  </si>
  <si>
    <t>Conferência Internacional sobre Tecnologia Web 3D</t>
  </si>
  <si>
    <t>WEB4ALL</t>
  </si>
  <si>
    <t>International Web for All Conference</t>
  </si>
  <si>
    <t>Conferência Internacional Web for All</t>
  </si>
  <si>
    <t>WEBIST</t>
  </si>
  <si>
    <t>International Conference on Web Information Systems and Technologies</t>
  </si>
  <si>
    <t>Conferência Internacional sobre Sistemas e Tecnologias de Informação Web</t>
  </si>
  <si>
    <t>WEBMEDIA</t>
  </si>
  <si>
    <t>Brazilian Symposium on Multimedia and the Web</t>
  </si>
  <si>
    <t>Simpósio Brasileiro de Multimídia e Web</t>
  </si>
  <si>
    <t>WEBSCI</t>
  </si>
  <si>
    <t>ACM Web Science Conference</t>
  </si>
  <si>
    <t>Conferência ACM sobre Web Science</t>
  </si>
  <si>
    <t>WEI</t>
  </si>
  <si>
    <t>Workshop sobre Educação em Computação</t>
  </si>
  <si>
    <t>Workshop on Computing Education</t>
  </si>
  <si>
    <t>WEIHC</t>
  </si>
  <si>
    <t>Workshop sobre Educação em IHC</t>
  </si>
  <si>
    <t>Workshop on Education in HCI</t>
  </si>
  <si>
    <t>WER</t>
  </si>
  <si>
    <t>Workshop on Requirements Engineering</t>
  </si>
  <si>
    <t>Workshop sobre Engenharia de Requisitos</t>
  </si>
  <si>
    <t>WETICE</t>
  </si>
  <si>
    <t>IEEE International Conference on Enabling Technologies: Infrastructure for Collaborative Enterprises</t>
  </si>
  <si>
    <t>Conferência Internacional IEEE sobre Tecnologias Habilitadoras: Infraestrutura para Empresas Colaborativas</t>
  </si>
  <si>
    <t>WF-IoT</t>
  </si>
  <si>
    <t>IEEE World Forum on Internet of Things</t>
  </si>
  <si>
    <t>Fórum Mundial IEEE sobre Internet das Coisas</t>
  </si>
  <si>
    <t>WFCS</t>
  </si>
  <si>
    <t>IEEE World Conference on Factory Communication Systems</t>
  </si>
  <si>
    <t>Conferência Mundial IEEE sobre Sistemas de Comunicação de Fábrica</t>
  </si>
  <si>
    <t>WFIBRE</t>
  </si>
  <si>
    <t>Workshop do testbed FIBRE</t>
  </si>
  <si>
    <t>FIBRE testbed Workshop</t>
  </si>
  <si>
    <t>WG</t>
  </si>
  <si>
    <t>International Workshop on Graph-Theoretic Concepts in Computer Science</t>
  </si>
  <si>
    <t>Workshop Internacional sobre Conceitos de Teoria de Grafos em Ciência da Computação</t>
  </si>
  <si>
    <t>WGRS</t>
  </si>
  <si>
    <t>Workshop de Gerência e Operação de Redes e Serviços</t>
  </si>
  <si>
    <t>Workshop on Management and Operation of Networks and Services</t>
  </si>
  <si>
    <t>WI-IAT</t>
  </si>
  <si>
    <t>IEEE/WIC/ACM International Conference on Web Intelligence and Intelligent Agent Technology</t>
  </si>
  <si>
    <t>Conferência Internacional IEEE/WIC/ACM sobre Inteligência Web e Tecnologia de Agentes Inteligentes</t>
  </si>
  <si>
    <t>WICS</t>
  </si>
  <si>
    <t>Workshop sobre as Implicações da Computação na Sociedade</t>
  </si>
  <si>
    <t>Workshop on the Implications of Computing in Society</t>
  </si>
  <si>
    <t>WIDAT</t>
  </si>
  <si>
    <t>Workshop de informação, dados e tecnologia</t>
  </si>
  <si>
    <t>Workshop on information, data and technology</t>
  </si>
  <si>
    <t>WIDE</t>
  </si>
  <si>
    <t>Workshop on Interactions with Human Experiences</t>
  </si>
  <si>
    <t>Workshop sobre Interações com Experiências Humanas</t>
  </si>
  <si>
    <t>WIE</t>
  </si>
  <si>
    <t>Workshop de Informática na Escola</t>
  </si>
  <si>
    <t>Workshop on Informatics in Education</t>
  </si>
  <si>
    <t>WIFS</t>
  </si>
  <si>
    <t>IEEE Workshop on Information Forensics and Security</t>
  </si>
  <si>
    <t>Workshop IEEE sobre Forense e Segurança da Informação</t>
  </si>
  <si>
    <t>WIMOB</t>
  </si>
  <si>
    <t>IEEE International Conference on Wireless and Mobile Computing, Networking and Communications</t>
  </si>
  <si>
    <t>Conferência Internacional IEEE sobre Computação, Redes e Comunicações Sem Fio e Móveis</t>
  </si>
  <si>
    <t>WIPLAY</t>
  </si>
  <si>
    <t>Workshop sobre Interação e Pesquisa de Usuários no Desenvolvimento de Jogos</t>
  </si>
  <si>
    <t>Workshop on Interaction and User Research in Game Development</t>
  </si>
  <si>
    <t>WISE</t>
  </si>
  <si>
    <t>International Conference on Web Information Systems Engineering</t>
  </si>
  <si>
    <t>Conferência Internacional sobre Engenharia de Sistemas de Informação Web</t>
  </si>
  <si>
    <t>WIT</t>
  </si>
  <si>
    <t>Women in Information Technology</t>
  </si>
  <si>
    <t>Mulheres na Tecnologia da Informação</t>
  </si>
  <si>
    <t>WMNC</t>
  </si>
  <si>
    <t>Joint IFIP Wireless and Mobile Networking Conference</t>
  </si>
  <si>
    <t>Conferência Conjunta IFIP de Redes Sem Fio e Móveis</t>
  </si>
  <si>
    <t>WOCC</t>
  </si>
  <si>
    <t>Wireless and Optical Communications Conference</t>
  </si>
  <si>
    <t>Conferência de Comunicações Sem Fio e Ópticas</t>
  </si>
  <si>
    <t>WOLLIC</t>
  </si>
  <si>
    <t>International Workshop on Logic, Language, Information and Computation</t>
  </si>
  <si>
    <t>Workshop Internacional sobre Lógica, Linguagem, Informação e Computação</t>
  </si>
  <si>
    <t>WONS</t>
  </si>
  <si>
    <t>Wireless On-demand Network systems and Services Conference</t>
  </si>
  <si>
    <t>Conferência sobre Sistemas e Serviços de Rede Wireless On-demand</t>
  </si>
  <si>
    <t>WORKS</t>
  </si>
  <si>
    <t>Workshop on Workflows in Support of Large-Scale Science</t>
  </si>
  <si>
    <t>Workshop sobre Fluxos de Trabalho em Apoio à Ciência em Larga Escala</t>
  </si>
  <si>
    <t>WorldCIST</t>
  </si>
  <si>
    <t>World Conference on Information Systems and Technologies</t>
  </si>
  <si>
    <t>Conferência Mundial sobre Sistemas e Tecnologias de Informação</t>
  </si>
  <si>
    <t>WORLDS4</t>
  </si>
  <si>
    <t>World Conference on Smart Trends in Systems, Security and Sustainability</t>
  </si>
  <si>
    <t>Conferência Mundial sobre Tendências Inteligentes em Sistemas, Segurança e Sustentabilidade</t>
  </si>
  <si>
    <t>WOSP</t>
  </si>
  <si>
    <t>International Workshop on Mining Scientific Publications</t>
  </si>
  <si>
    <t>Workshop Internacional sobre Mineração de Publicações Científicas</t>
  </si>
  <si>
    <t>WPEIF</t>
  </si>
  <si>
    <t>Workshop de Pesquisa Experimental da Internet do Futuro</t>
  </si>
  <si>
    <t>Workshop on Experimental Research of the Future Internet</t>
  </si>
  <si>
    <t>WPERFORMANCE</t>
  </si>
  <si>
    <t>Workshop em Desempenho de Sistemas Computacionais e de Comunicação</t>
  </si>
  <si>
    <t>Workshop on Performance of Computer and Communication Systems</t>
  </si>
  <si>
    <t>WPES</t>
  </si>
  <si>
    <t>Annual ACM workshop on Privacy in the electronic society</t>
  </si>
  <si>
    <t>Workshop Anual ACM sobre Privacidade na Sociedade Eletrônica</t>
  </si>
  <si>
    <t>WSC</t>
  </si>
  <si>
    <t>Winter Simulation Conference</t>
  </si>
  <si>
    <t>Conferência de Simulação de Inverno</t>
  </si>
  <si>
    <t>WTF</t>
  </si>
  <si>
    <t>Workshop de Testes e Tolerância a Falhas</t>
  </si>
  <si>
    <t>Workshop on Testing and Fault Tolerance</t>
  </si>
  <si>
    <t>WVC</t>
  </si>
  <si>
    <t>Workshop de Visão Computacional</t>
  </si>
  <si>
    <t>Computer Vision Workshop</t>
  </si>
  <si>
    <t>WWW</t>
  </si>
  <si>
    <t>The ACM Web Conference</t>
  </si>
  <si>
    <t>A Conferência Web ACM</t>
  </si>
  <si>
    <t>XP</t>
  </si>
  <si>
    <t>International Conference on Agile Software Development</t>
  </si>
  <si>
    <t>Conferência Internacional sobre Desenvolvimento Ágil de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</si>
</sst>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  <scheme val="minor"/>
    </font>
    <font>
      <b/>
      <color theme="1"/>
      <name val="Google Sans Text"/>
    </font>
    <font>
      <b/>
      <i/>
      <color theme="1"/>
      <name val="Google Sans Text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tr">
        <f>IFERROR(__xludf.DUMMYFUNCTION("ARRAYFORMULA(SPLIT(FILTER(REGEXREPLACE(A1:A1567, "" - "", ""|""), A1:A1567 &lt;&gt; """"), ""|""))"),"AAAI Conference on Artificial Intelligence")</f>
        <v>AAAI Conference on Artificial Intelligence</v>
      </c>
      <c r="C1" s="2" t="str">
        <f>IFERROR(__xludf.DUMMYFUNCTION("""COMPUTED_VALUE"""),"Conferência AAAI sobre Inteligência Artificial")</f>
        <v>Conferência AAAI sobre Inteligência Artificial</v>
      </c>
    </row>
    <row r="2">
      <c r="A2" s="3"/>
      <c r="B2" s="2" t="str">
        <f>IFERROR(__xludf.DUMMYFUNCTION("""COMPUTED_VALUE"""),"International Conference on Autonomous Agents and Multiagent Systems")</f>
        <v>International Conference on Autonomous Agents and Multiagent Systems</v>
      </c>
      <c r="C2" s="2" t="str">
        <f>IFERROR(__xludf.DUMMYFUNCTION("""COMPUTED_VALUE"""),"Conferência Internacional sobre Agentes Autônomos e Sistemas Multiagentes")</f>
        <v>Conferência Internacional sobre Agentes Autônomos e Sistemas Multiagentes</v>
      </c>
    </row>
    <row r="3">
      <c r="A3" s="4"/>
      <c r="B3" s="2" t="str">
        <f>IFERROR(__xludf.DUMMYFUNCTION("""COMPUTED_VALUE"""),"Asian Conference on Computer Vision")</f>
        <v>Asian Conference on Computer Vision</v>
      </c>
      <c r="C3" s="2" t="str">
        <f>IFERROR(__xludf.DUMMYFUNCTION("""COMPUTED_VALUE"""),"Conferência Asiática sobre Visão Computacional")</f>
        <v>Conferência Asiática sobre Visão Computacional</v>
      </c>
    </row>
    <row r="4">
      <c r="A4" s="5"/>
      <c r="B4" s="2" t="str">
        <f>IFERROR(__xludf.DUMMYFUNCTION("""COMPUTED_VALUE"""),"International Conference on Affective Computing and Intelligent Interaction")</f>
        <v>International Conference on Affective Computing and Intelligent Interaction</v>
      </c>
      <c r="C4" s="2" t="str">
        <f>IFERROR(__xludf.DUMMYFUNCTION("""COMPUTED_VALUE"""),"Conferência Internacional sobre Computação Afetiva e Interação Inteligente")</f>
        <v>Conferência Internacional sobre Computação Afetiva e Interação Inteligente</v>
      </c>
    </row>
    <row r="5">
      <c r="A5" s="4"/>
      <c r="B5" s="2" t="str">
        <f>IFERROR(__xludf.DUMMYFUNCTION("""COMPUTED_VALUE"""),"Australasian Conference on Information Security and Privacy")</f>
        <v>Australasian Conference on Information Security and Privacy</v>
      </c>
      <c r="C5" s="2" t="str">
        <f>IFERROR(__xludf.DUMMYFUNCTION("""COMPUTED_VALUE"""),"Conferência Australasiática sobre Segurança e Privacidade da Informação")</f>
        <v>Conferência Australasiática sobre Segurança e Privacidade da Informação</v>
      </c>
    </row>
    <row r="6">
      <c r="A6" s="5"/>
      <c r="B6" s="2" t="str">
        <f>IFERROR(__xludf.DUMMYFUNCTION("""COMPUTED_VALUE"""),"Annual Meeting of the Association for Computational Linguistics")</f>
        <v>Annual Meeting of the Association for Computational Linguistics</v>
      </c>
      <c r="C6" s="2" t="str">
        <f>IFERROR(__xludf.DUMMYFUNCTION("""COMPUTED_VALUE"""),"Reunião Anual da Associação de Linguística Computacional")</f>
        <v>Reunião Anual da Associação de Linguística Computacional</v>
      </c>
    </row>
    <row r="7">
      <c r="A7" s="4"/>
      <c r="B7" s="2" t="str">
        <f>IFERROR(__xludf.DUMMYFUNCTION("""COMPUTED_VALUE"""),"ACM Internacional Conference on Interaction Design and Children")</f>
        <v>ACM Internacional Conference on Interaction Design and Children</v>
      </c>
      <c r="C7" s="2" t="str">
        <f>IFERROR(__xludf.DUMMYFUNCTION("""COMPUTED_VALUE"""),"Conferência Internacional ACM sobre Design de Interação e Crianças")</f>
        <v>Conferência Internacional ACM sobre Design de Interação e Crianças</v>
      </c>
    </row>
    <row r="8">
      <c r="A8" s="5"/>
      <c r="B8" s="2" t="str">
        <f>IFERROR(__xludf.DUMMYFUNCTION("""COMPUTED_VALUE"""),"ACM International Conference on Interactive Media Experiences")</f>
        <v>ACM International Conference on Interactive Media Experiences</v>
      </c>
      <c r="C8" s="2" t="str">
        <f>IFERROR(__xludf.DUMMYFUNCTION("""COMPUTED_VALUE"""),"Conferência Internacional ACM sobre Experiências de Mídia Interativa")</f>
        <v>Conferência Internacional ACM sobre Experiências de Mídia Interativa</v>
      </c>
    </row>
    <row r="9">
      <c r="A9" s="4" t="s">
        <v>0</v>
      </c>
      <c r="B9" s="2" t="str">
        <f>IFERROR(__xludf.DUMMYFUNCTION("""COMPUTED_VALUE"""),"ACM International Conference on Multimedia")</f>
        <v>ACM International Conference on Multimedia</v>
      </c>
      <c r="C9" s="2" t="str">
        <f>IFERROR(__xludf.DUMMYFUNCTION("""COMPUTED_VALUE"""),"Conferência Internacional ACM sobre Multimídia")</f>
        <v>Conferência Internacional ACM sobre Multimídia</v>
      </c>
    </row>
    <row r="10">
      <c r="A10" s="5"/>
      <c r="B10" s="2" t="str">
        <f>IFERROR(__xludf.DUMMYFUNCTION("""COMPUTED_VALUE"""),"Applied Cryptography and Network Security")</f>
        <v>Applied Cryptography and Network Security</v>
      </c>
      <c r="C10" s="2" t="str">
        <f>IFERROR(__xludf.DUMMYFUNCTION("""COMPUTED_VALUE"""),"Criptografia Aplicada e Segurança de Rede")</f>
        <v>Criptografia Aplicada e Segurança de Rede</v>
      </c>
    </row>
    <row r="11">
      <c r="A11" s="4" t="s">
        <v>1</v>
      </c>
      <c r="B11" s="2" t="str">
        <f>IFERROR(__xludf.DUMMYFUNCTION("""COMPUTED_VALUE"""),"IEEE International Conference on Autonomic Computing and Self-Organizing Systems")</f>
        <v>IEEE International Conference on Autonomic Computing and Self-Organizing Systems</v>
      </c>
      <c r="C11" s="2" t="str">
        <f>IFERROR(__xludf.DUMMYFUNCTION("""COMPUTED_VALUE"""),"Conferência Internacional IEEE sobre Computação Autonômica e Sistemas Auto-Organizáveis")</f>
        <v>Conferência Internacional IEEE sobre Computação Autonômica e Sistemas Auto-Organizáveis</v>
      </c>
    </row>
    <row r="12">
      <c r="A12" s="5"/>
      <c r="B12" s="2" t="str">
        <f>IFERROR(__xludf.DUMMYFUNCTION("""COMPUTED_VALUE"""),"East European Conference on Advances in Databases and Information Systems")</f>
        <v>East European Conference on Advances in Databases and Information Systems</v>
      </c>
      <c r="C12" s="2" t="str">
        <f>IFERROR(__xludf.DUMMYFUNCTION("""COMPUTED_VALUE"""),"Conferência Leste Europeia sobre Avanços em Bancos de Dados e Sistemas de Informação")</f>
        <v>Conferência Leste Europeia sobre Avanços em Bancos de Dados e Sistemas de Informação</v>
      </c>
    </row>
    <row r="13">
      <c r="A13" s="4" t="s">
        <v>2</v>
      </c>
      <c r="B13" s="2" t="str">
        <f>IFERROR(__xludf.DUMMYFUNCTION("""COMPUTED_VALUE"""),"International Workshop on Advances in ICT Infrastructures and Services")</f>
        <v>International Workshop on Advances in ICT Infrastructures and Services</v>
      </c>
      <c r="C13" s="2" t="str">
        <f>IFERROR(__xludf.DUMMYFUNCTION("""COMPUTED_VALUE"""),"Workshop Internacional sobre Avanços em Infraestruturas e Serviços de TIC")</f>
        <v>Workshop Internacional sobre Avanços em Infraestruturas e Serviços de TIC</v>
      </c>
    </row>
    <row r="14">
      <c r="A14" s="5"/>
      <c r="B14" s="2" t="str">
        <f>IFERROR(__xludf.DUMMYFUNCTION("""COMPUTED_VALUE"""),"Canadian Conference on Artificial Intelligence")</f>
        <v>Canadian Conference on Artificial Intelligence</v>
      </c>
      <c r="C14" s="2" t="str">
        <f>IFERROR(__xludf.DUMMYFUNCTION("""COMPUTED_VALUE"""),"Conferência Canadense sobre Inteligência Artificial")</f>
        <v>Conferência Canadense sobre Inteligência Artificial</v>
      </c>
    </row>
    <row r="15">
      <c r="A15" s="4" t="s">
        <v>3</v>
      </c>
      <c r="B15" s="2" t="str">
        <f>IFERROR(__xludf.DUMMYFUNCTION("""COMPUTED_VALUE"""),"ACS/IEEE International Conference on Computer Systems and Applications")</f>
        <v>ACS/IEEE International Conference on Computer Systems and Applications</v>
      </c>
      <c r="C15" s="2" t="str">
        <f>IFERROR(__xludf.DUMMYFUNCTION("""COMPUTED_VALUE"""),"Conferência Internacional ACS/IEEE sobre Sistemas Computacionais e Aplicações")</f>
        <v>Conferência Internacional ACS/IEEE sobre Sistemas Computacionais e Aplicações</v>
      </c>
    </row>
    <row r="16">
      <c r="A16" s="5"/>
      <c r="B16" s="2" t="str">
        <f>IFERROR(__xludf.DUMMYFUNCTION("""COMPUTED_VALUE"""),"International Conference on Application of Information and Communication Technologies")</f>
        <v>International Conference on Application of Information and Communication Technologies</v>
      </c>
      <c r="C16" s="2" t="str">
        <f>IFERROR(__xludf.DUMMYFUNCTION("""COMPUTED_VALUE"""),"Conferência Internacional sobre Aplicação de Tecnologias de Informação e Comunicação")</f>
        <v>Conferência Internacional sobre Aplicação de Tecnologias de Informação e Comunicação</v>
      </c>
    </row>
    <row r="17">
      <c r="A17" s="4" t="s">
        <v>4</v>
      </c>
      <c r="B17" s="2" t="str">
        <f>IFERROR(__xludf.DUMMYFUNCTION("""COMPUTED_VALUE"""),"IEEE International Conference on Artificial Intelligence, Data and Knowledge Engineering")</f>
        <v>IEEE International Conference on Artificial Intelligence, Data and Knowledge Engineering</v>
      </c>
      <c r="C17" s="2" t="str">
        <f>IFERROR(__xludf.DUMMYFUNCTION("""COMPUTED_VALUE"""),"Conferência Internacional IEEE sobre Inteligência Artificial, Dados e Engenharia de Conhecimento")</f>
        <v>Conferência Internacional IEEE sobre Inteligência Artificial, Dados e Engenharia de Conhecimento</v>
      </c>
    </row>
    <row r="18">
      <c r="A18" s="5"/>
      <c r="B18" s="2" t="str">
        <f>IFERROR(__xludf.DUMMYFUNCTION("""COMPUTED_VALUE"""),"International Conference on Artificial Intelligence in Education")</f>
        <v>International Conference on Artificial Intelligence in Education</v>
      </c>
      <c r="C18" s="2" t="str">
        <f>IFERROR(__xludf.DUMMYFUNCTION("""COMPUTED_VALUE"""),"Conferência Internacional sobre Inteligência Artificial na Educação")</f>
        <v>Conferência Internacional sobre Inteligência Artificial na Educação</v>
      </c>
    </row>
    <row r="19">
      <c r="A19" s="4" t="s">
        <v>5</v>
      </c>
      <c r="B19" s="2" t="str">
        <f>IFERROR(__xludf.DUMMYFUNCTION("""COMPUTED_VALUE"""),"AAAI/ACM Conference on AI, Ethics, and Society")</f>
        <v>AAAI/ACM Conference on AI, Ethics, and Society</v>
      </c>
      <c r="C19" s="2" t="str">
        <f>IFERROR(__xludf.DUMMYFUNCTION("""COMPUTED_VALUE"""),"Conferência AAAI/ACM sobre IA, Ética e Sociedade")</f>
        <v>Conferência AAAI/ACM sobre IA, Ética e Sociedade</v>
      </c>
    </row>
    <row r="20">
      <c r="A20" s="5"/>
      <c r="B20" s="2" t="str">
        <f>IFERROR(__xludf.DUMMYFUNCTION("""COMPUTED_VALUE"""),"AAAI Conference on Artificial Intelligence and Interactive Digital Entertainment")</f>
        <v>AAAI Conference on Artificial Intelligence and Interactive Digital Entertainment</v>
      </c>
      <c r="C20" s="2" t="str">
        <f>IFERROR(__xludf.DUMMYFUNCTION("""COMPUTED_VALUE"""),"Conferência AAAI sobre Inteligência Artificial e Entretenimento Digital Interativo")</f>
        <v>Conferência AAAI sobre Inteligência Artificial e Entretenimento Digital Interativo</v>
      </c>
    </row>
    <row r="21">
      <c r="A21" s="4" t="s">
        <v>6</v>
      </c>
      <c r="B21" s="2" t="str">
        <f>IFERROR(__xludf.DUMMYFUNCTION("""COMPUTED_VALUE"""),"Conference on Artificial Intelligence in Medicine")</f>
        <v>Conference on Artificial Intelligence in Medicine</v>
      </c>
      <c r="C21" s="2" t="str">
        <f>IFERROR(__xludf.DUMMYFUNCTION("""COMPUTED_VALUE"""),"Conferência sobre Inteligência Artificial na Medicina")</f>
        <v>Conferência sobre Inteligência Artificial na Medicina</v>
      </c>
    </row>
    <row r="22">
      <c r="A22" s="5"/>
      <c r="B22" s="2" t="str">
        <f>IFERROR(__xludf.DUMMYFUNCTION("""COMPUTED_VALUE"""),"IEEE International Conference on Advanced Information Networking and Applications")</f>
        <v>IEEE International Conference on Advanced Information Networking and Applications</v>
      </c>
      <c r="C22" s="2" t="str">
        <f>IFERROR(__xludf.DUMMYFUNCTION("""COMPUTED_VALUE"""),"Conferência Internacional IEEE sobre Redes de Informação Avançadas e Aplicações")</f>
        <v>Conferência Internacional IEEE sobre Redes de Informação Avançadas e Aplicações</v>
      </c>
    </row>
    <row r="23">
      <c r="A23" s="4" t="s">
        <v>7</v>
      </c>
      <c r="B23" s="2" t="str">
        <f>IFERROR(__xludf.DUMMYFUNCTION("""COMPUTED_VALUE"""),"International Conference on Artificial Intelligence and Statistics")</f>
        <v>International Conference on Artificial Intelligence and Statistics</v>
      </c>
      <c r="C23" s="2" t="str">
        <f>IFERROR(__xludf.DUMMYFUNCTION("""COMPUTED_VALUE"""),"Conferência Internacional sobre Inteligência Artificial e Estatística")</f>
        <v>Conferência Internacional sobre Inteligência Artificial e Estatística</v>
      </c>
    </row>
    <row r="24">
      <c r="A24" s="5"/>
      <c r="B24" s="2" t="str">
        <f>IFERROR(__xludf.DUMMYFUNCTION("""COMPUTED_VALUE"""),"ACM International Conference on AI-Powered Software")</f>
        <v>ACM International Conference on AI-Powered Software</v>
      </c>
      <c r="C24" s="2" t="str">
        <f>IFERROR(__xludf.DUMMYFUNCTION("""COMPUTED_VALUE"""),"Conferência Internacional ACM sobre Software Impulsionado por IA")</f>
        <v>Conferência Internacional ACM sobre Software Impulsionado por IA</v>
      </c>
    </row>
    <row r="25">
      <c r="A25" s="4" t="s">
        <v>8</v>
      </c>
      <c r="B25" s="2" t="str">
        <f>IFERROR(__xludf.DUMMYFUNCTION("""COMPUTED_VALUE"""),"International Conference on Algorithms for Computational Biology")</f>
        <v>International Conference on Algorithms for Computational Biology</v>
      </c>
      <c r="C25" s="2" t="str">
        <f>IFERROR(__xludf.DUMMYFUNCTION("""COMPUTED_VALUE"""),"Conferência Internacional sobre Algoritmos para Biologia Computacional")</f>
        <v>Conferência Internacional sobre Algoritmos para Biologia Computacional</v>
      </c>
    </row>
    <row r="26">
      <c r="A26" s="5"/>
      <c r="B26" s="2" t="str">
        <f>IFERROR(__xludf.DUMMYFUNCTION("""COMPUTED_VALUE"""),"Joint ALIO/EURO International Conference on Applied Combinatorial Optimization")</f>
        <v>Joint ALIO/EURO International Conference on Applied Combinatorial Optimization</v>
      </c>
      <c r="C26" s="2" t="str">
        <f>IFERROR(__xludf.DUMMYFUNCTION("""COMPUTED_VALUE"""),"Conferência Internacional Conjunta ALIO/EURO sobre Otimização Combinatória Aplicada")</f>
        <v>Conferência Internacional Conjunta ALIO/EURO sobre Otimização Combinatória Aplicada</v>
      </c>
    </row>
    <row r="27">
      <c r="A27" s="4" t="s">
        <v>9</v>
      </c>
      <c r="B27" s="2" t="str">
        <f>IFERROR(__xludf.DUMMYFUNCTION("""COMPUTED_VALUE"""),"Americas Conference on Information Systems")</f>
        <v>Americas Conference on Information Systems</v>
      </c>
      <c r="C27" s="2" t="str">
        <f>IFERROR(__xludf.DUMMYFUNCTION("""COMPUTED_VALUE"""),"Conferência das Américas sobre Sistemas de Informação")</f>
        <v>Conferência das Américas sobre Sistemas de Informação</v>
      </c>
    </row>
    <row r="28">
      <c r="A28" s="5"/>
      <c r="B28" s="2" t="str">
        <f>IFERROR(__xludf.DUMMYFUNCTION("""COMPUTED_VALUE"""),"International Conference on Ambient Systems, Networks and Technologies")</f>
        <v>International Conference on Ambient Systems, Networks and Technologies</v>
      </c>
      <c r="C28" s="2" t="str">
        <f>IFERROR(__xludf.DUMMYFUNCTION("""COMPUTED_VALUE"""),"Conferência Internacional sobre Sistemas Ambientais, Redes e Tecnologias")</f>
        <v>Conferência Internacional sobre Sistemas Ambientais, Redes e Tecnologias</v>
      </c>
    </row>
    <row r="29">
      <c r="A29" s="4" t="s">
        <v>10</v>
      </c>
      <c r="B29" s="2" t="str">
        <f>IFERROR(__xludf.DUMMYFUNCTION("""COMPUTED_VALUE"""),"International Symposium on Applied Reconfigurable Computing")</f>
        <v>International Symposium on Applied Reconfigurable Computing</v>
      </c>
      <c r="C29" s="2" t="str">
        <f>IFERROR(__xludf.DUMMYFUNCTION("""COMPUTED_VALUE"""),"Simpósio Internacional sobre Computação Reconfigurável Aplicada")</f>
        <v>Simpósio Internacional sobre Computação Reconfigurável Aplicada</v>
      </c>
    </row>
    <row r="30">
      <c r="A30" s="5"/>
      <c r="B30" s="2" t="str">
        <f>IFERROR(__xludf.DUMMYFUNCTION("""COMPUTED_VALUE"""),"International Conference on Architecture of Computing Systems")</f>
        <v>International Conference on Architecture of Computing Systems</v>
      </c>
      <c r="C30" s="2" t="str">
        <f>IFERROR(__xludf.DUMMYFUNCTION("""COMPUTED_VALUE"""),"Conferência Internacional sobre Arquitetura de Sistemas Computacionais")</f>
        <v>Conferência Internacional sobre Arquitetura de Sistemas Computacionais</v>
      </c>
    </row>
    <row r="31">
      <c r="A31" s="4" t="s">
        <v>11</v>
      </c>
      <c r="B31" s="2" t="str">
        <f>IFERROR(__xludf.DUMMYFUNCTION("""COMPUTED_VALUE"""),"International Conference on Availability, Reliability and Security")</f>
        <v>International Conference on Availability, Reliability and Security</v>
      </c>
      <c r="C31" s="2" t="str">
        <f>IFERROR(__xludf.DUMMYFUNCTION("""COMPUTED_VALUE"""),"Conferência Internacional sobre Disponibilidade, Confiabilidade e Segurança")</f>
        <v>Conferência Internacional sobre Disponibilidade, Confiabilidade e Segurança</v>
      </c>
    </row>
    <row r="32">
      <c r="A32" s="5"/>
      <c r="B32" s="2" t="str">
        <f>IFERROR(__xludf.DUMMYFUNCTION("""COMPUTED_VALUE"""),"IEEE International Conference on Application-specific Systems, Architectures and Processors")</f>
        <v>IEEE International Conference on Application-specific Systems, Architectures and Processors</v>
      </c>
      <c r="C32" s="2" t="str">
        <f>IFERROR(__xludf.DUMMYFUNCTION("""COMPUTED_VALUE"""),"Conferência Internacional IEEE sobre Sistemas, Arquiteturas e Processadores de Aplicação Específica")</f>
        <v>Conferência Internacional IEEE sobre Sistemas, Arquiteturas e Processadores de Aplicação Específica</v>
      </c>
    </row>
    <row r="33">
      <c r="A33" s="4" t="s">
        <v>12</v>
      </c>
      <c r="B33" s="2" t="str">
        <f>IFERROR(__xludf.DUMMYFUNCTION("""COMPUTED_VALUE"""),"IEEE/ACM International Conference on Automated Software Engineering")</f>
        <v>IEEE/ACM International Conference on Automated Software Engineering</v>
      </c>
      <c r="C33" s="2" t="str">
        <f>IFERROR(__xludf.DUMMYFUNCTION("""COMPUTED_VALUE"""),"Conferência Internacional IEEE/ACM sobre Engenharia de Software Automatizada")</f>
        <v>Conferência Internacional IEEE/ACM sobre Engenharia de Software Automatizada</v>
      </c>
    </row>
    <row r="34">
      <c r="A34" s="5"/>
      <c r="B34" s="2" t="str">
        <f>IFERROR(__xludf.DUMMYFUNCTION("""COMPUTED_VALUE"""),"Annual International Conference on the Theory and Applications of Cryptology and Information Security")</f>
        <v>Annual International Conference on the Theory and Applications of Cryptology and Information Security</v>
      </c>
      <c r="C34" s="2" t="str">
        <f>IFERROR(__xludf.DUMMYFUNCTION("""COMPUTED_VALUE"""),"Conferência Internacional Anual sobre Teoria e Aplicações de Criptologia e Segurança da Informação")</f>
        <v>Conferência Internacional Anual sobre Teoria e Aplicações de Criptologia e Segurança da Informação</v>
      </c>
    </row>
    <row r="35">
      <c r="A35" s="4" t="s">
        <v>13</v>
      </c>
      <c r="B35" s="2" t="str">
        <f>IFERROR(__xludf.DUMMYFUNCTION("""COMPUTED_VALUE"""),"IEEE/ACM International Conference on Advances in Social Networks Analysis and Mining")</f>
        <v>IEEE/ACM International Conference on Advances in Social Networks Analysis and Mining</v>
      </c>
      <c r="C35" s="2" t="str">
        <f>IFERROR(__xludf.DUMMYFUNCTION("""COMPUTED_VALUE"""),"Conferência Internacional IEEE/ACM sobre Avanços em Análise e Mineração de Redes Sociais")</f>
        <v>Conferência Internacional IEEE/ACM sobre Avanços em Análise e Mineração de Redes Sociais</v>
      </c>
    </row>
    <row r="36">
      <c r="A36" s="5"/>
      <c r="B36" s="2" t="str">
        <f>IFERROR(__xludf.DUMMYFUNCTION("""COMPUTED_VALUE"""),"Asia and South Pacific Design Automation Conference")</f>
        <v>Asia and South Pacific Design Automation Conference</v>
      </c>
      <c r="C36" s="2" t="str">
        <f>IFERROR(__xludf.DUMMYFUNCTION("""COMPUTED_VALUE"""),"Conferência de Automação de Design da Ásia e Pacífico Sul")</f>
        <v>Conferência de Automação de Design da Ásia e Pacífico Sul</v>
      </c>
    </row>
    <row r="37">
      <c r="A37" s="4" t="s">
        <v>14</v>
      </c>
      <c r="B37" s="2" t="str">
        <f>IFERROR(__xludf.DUMMYFUNCTION("""COMPUTED_VALUE"""),"IEEE/ACM International Workshop on Automation of Software Testing")</f>
        <v>IEEE/ACM International Workshop on Automation of Software Testing</v>
      </c>
      <c r="C37" s="2" t="str">
        <f>IFERROR(__xludf.DUMMYFUNCTION("""COMPUTED_VALUE"""),"Workshop Internacional IEEE/ACM sobre Automação de Testes de Software")</f>
        <v>Workshop Internacional IEEE/ACM sobre Automação de Testes de Software</v>
      </c>
    </row>
    <row r="38">
      <c r="A38" s="5"/>
      <c r="B38" s="2" t="str">
        <f>IFERROR(__xludf.DUMMYFUNCTION("""COMPUTED_VALUE"""),"USENIX Annual Technical Conference")</f>
        <v>USENIX Annual Technical Conference</v>
      </c>
      <c r="C38" s="2" t="str">
        <f>IFERROR(__xludf.DUMMYFUNCTION("""COMPUTED_VALUE"""),"Conferência Técnica Anual USENIX")</f>
        <v>Conferência Técnica Anual USENIX</v>
      </c>
    </row>
    <row r="39">
      <c r="A39" s="4" t="s">
        <v>15</v>
      </c>
      <c r="B39" s="2" t="str">
        <f>IFERROR(__xludf.DUMMYFUNCTION("""COMPUTED_VALUE"""),"International Workshop on Agents in Traffic and Transportation")</f>
        <v>International Workshop on Agents in Traffic and Transportation</v>
      </c>
      <c r="C39" s="2" t="str">
        <f>IFERROR(__xludf.DUMMYFUNCTION("""COMPUTED_VALUE"""),"Workshop Internacional sobre Agentes em Tráfego e Transporte")</f>
        <v>Workshop Internacional sobre Agentes em Tráfego e Transporte</v>
      </c>
    </row>
    <row r="40">
      <c r="A40" s="5"/>
      <c r="B40" s="2" t="str">
        <f>IFERROR(__xludf.DUMMYFUNCTION("""COMPUTED_VALUE"""),"Audio Mostly Conference")</f>
        <v>Audio Mostly Conference</v>
      </c>
      <c r="C40" s="2" t="str">
        <f>IFERROR(__xludf.DUMMYFUNCTION("""COMPUTED_VALUE"""),"Conferência Audio Mostly")</f>
        <v>Conferência Audio Mostly</v>
      </c>
    </row>
    <row r="41">
      <c r="A41" s="4" t="s">
        <v>16</v>
      </c>
      <c r="B41" s="2" t="str">
        <f>IFERROR(__xludf.DUMMYFUNCTION("""COMPUTED_VALUE"""),"International Conference on Blockchain Computing and Applications")</f>
        <v>International Conference on Blockchain Computing and Applications</v>
      </c>
      <c r="C41" s="2" t="str">
        <f>IFERROR(__xludf.DUMMYFUNCTION("""COMPUTED_VALUE"""),"Conferência Internacional sobre Computação e Aplicações de Blockchain")</f>
        <v>Conferência Internacional sobre Computação e Aplicações de Blockchain</v>
      </c>
    </row>
    <row r="42">
      <c r="A42" s="5"/>
      <c r="B42" s="2" t="str">
        <f>IFERROR(__xludf.DUMMYFUNCTION("""COMPUTED_VALUE"""),"IEEE/ACM International Conference on Big Data Computing, Applications and Technologies")</f>
        <v>IEEE/ACM International Conference on Big Data Computing, Applications and Technologies</v>
      </c>
      <c r="C42" s="2" t="str">
        <f>IFERROR(__xludf.DUMMYFUNCTION("""COMPUTED_VALUE"""),"Conferência Internacional IEEE/ACM sobre Computação, Aplicações e Tecnologias de Big Data")</f>
        <v>Conferência Internacional IEEE/ACM sobre Computação, Aplicações e Tecnologias de Big Data</v>
      </c>
    </row>
    <row r="43">
      <c r="A43" s="4" t="s">
        <v>17</v>
      </c>
      <c r="B43" s="2" t="str">
        <f>IFERROR(__xludf.DUMMYFUNCTION("""COMPUTED_VALUE"""),"International Conference on Big Data and Cloud Computing")</f>
        <v>International Conference on Big Data and Cloud Computing</v>
      </c>
      <c r="C43" s="2" t="str">
        <f>IFERROR(__xludf.DUMMYFUNCTION("""COMPUTED_VALUE"""),"Conferência Internacional sobre Big Data e Computação em Nuvem")</f>
        <v>Conferência Internacional sobre Big Data e Computação em Nuvem</v>
      </c>
    </row>
    <row r="44">
      <c r="A44" s="5"/>
      <c r="B44" s="2" t="str">
        <f>IFERROR(__xludf.DUMMYFUNCTION("""COMPUTED_VALUE"""),"International Conference on Behavior, Economic and Social Computing")</f>
        <v>International Conference on Behavior, Economic and Social Computing</v>
      </c>
      <c r="C44" s="2" t="str">
        <f>IFERROR(__xludf.DUMMYFUNCTION("""COMPUTED_VALUE"""),"Conferência Internacional sobre Computação Comportamental, Econômica e Social")</f>
        <v>Conferência Internacional sobre Computação Comportamental, Econômica e Social</v>
      </c>
    </row>
    <row r="45">
      <c r="A45" s="4" t="s">
        <v>18</v>
      </c>
      <c r="B45" s="2" t="str">
        <f>IFERROR(__xludf.DUMMYFUNCTION("""COMPUTED_VALUE"""),"IEEE International Conference on BioInformatics and BioEngineering")</f>
        <v>IEEE International Conference on BioInformatics and BioEngineering</v>
      </c>
      <c r="C45" s="2" t="str">
        <f>IFERROR(__xludf.DUMMYFUNCTION("""COMPUTED_VALUE"""),"Conferência Internacional IEEE sobre Bioinformática e Bioengenharia")</f>
        <v>Conferência Internacional IEEE sobre Bioinformática e Bioengenharia</v>
      </c>
    </row>
    <row r="46">
      <c r="A46" s="5"/>
      <c r="B46" s="2" t="str">
        <f>IFERROR(__xludf.DUMMYFUNCTION("""COMPUTED_VALUE"""),"IEEE International Conference on Bioinformatics and Biomedicine")</f>
        <v>IEEE International Conference on Bioinformatics and Biomedicine</v>
      </c>
      <c r="C46" s="2" t="str">
        <f>IFERROR(__xludf.DUMMYFUNCTION("""COMPUTED_VALUE"""),"Conferência Internacional IEEE sobre Bioinformática e Biomedicina")</f>
        <v>Conferência Internacional IEEE sobre Bioinformática e Biomedicina</v>
      </c>
    </row>
    <row r="47">
      <c r="A47" s="4" t="s">
        <v>19</v>
      </c>
      <c r="B47" s="2" t="str">
        <f>IFERROR(__xludf.DUMMYFUNCTION("""COMPUTED_VALUE"""),"International Conference on Big Data and Smart Computing")</f>
        <v>International Conference on Big Data and Smart Computing</v>
      </c>
      <c r="C47" s="2" t="str">
        <f>IFERROR(__xludf.DUMMYFUNCTION("""COMPUTED_VALUE"""),"Conferência Internacional sobre Big Data e Computação Inteligente")</f>
        <v>Conferência Internacional sobre Big Data e Computação Inteligente</v>
      </c>
    </row>
    <row r="48">
      <c r="A48" s="5"/>
      <c r="B48" s="2" t="str">
        <f>IFERROR(__xludf.DUMMYFUNCTION("""COMPUTED_VALUE"""),"IEEE International Conference on Big Data")</f>
        <v>IEEE International Conference on Big Data</v>
      </c>
      <c r="C48" s="2" t="str">
        <f>IFERROR(__xludf.DUMMYFUNCTION("""COMPUTED_VALUE"""),"Conferência Internacional IEEE sobre Big Data")</f>
        <v>Conferência Internacional IEEE sobre Big Data</v>
      </c>
    </row>
    <row r="49">
      <c r="A49" s="4" t="s">
        <v>20</v>
      </c>
      <c r="B49" s="2" t="str">
        <f>IFERROR(__xludf.DUMMYFUNCTION("""COMPUTED_VALUE"""),"IEEE International Conference on Multimedia Big Data")</f>
        <v>IEEE International Conference on Multimedia Big Data</v>
      </c>
      <c r="C49" s="2" t="str">
        <f>IFERROR(__xludf.DUMMYFUNCTION("""COMPUTED_VALUE"""),"Conferência Internacional IEEE sobre Big Data Multimídia")</f>
        <v>Conferência Internacional IEEE sobre Big Data Multimídia</v>
      </c>
    </row>
    <row r="50">
      <c r="A50" s="5"/>
      <c r="B50" s="2" t="str">
        <f>IFERROR(__xludf.DUMMYFUNCTION("""COMPUTED_VALUE"""),"International Conference on Bioinformatics &amp; Computational Biology")</f>
        <v>International Conference on Bioinformatics &amp; Computational Biology</v>
      </c>
      <c r="C50" s="2" t="str">
        <f>IFERROR(__xludf.DUMMYFUNCTION("""COMPUTED_VALUE"""),"Conferência Internacional sobre Bioinformática e Biologia Computacional")</f>
        <v>Conferência Internacional sobre Bioinformática e Biologia Computacional</v>
      </c>
    </row>
    <row r="51">
      <c r="A51" s="4" t="s">
        <v>21</v>
      </c>
      <c r="B51" s="2" t="str">
        <f>IFERROR(__xludf.DUMMYFUNCTION("""COMPUTED_VALUE"""),"IEEE RAS &amp; EMBS International Conference on Biomedical Robotics and Biomechatronics")</f>
        <v>IEEE RAS &amp; EMBS International Conference on Biomedical Robotics and Biomechatronics</v>
      </c>
      <c r="C51" s="2" t="str">
        <f>IFERROR(__xludf.DUMMYFUNCTION("""COMPUTED_VALUE"""),"Conferência Internacional IEEE RAS &amp; EMBS sobre Robótica Biomédica e Biomecatrônica")</f>
        <v>Conferência Internacional IEEE RAS &amp; EMBS sobre Robótica Biomédica e Biomecatrônica</v>
      </c>
    </row>
    <row r="52">
      <c r="A52" s="5"/>
      <c r="B52" s="2" t="str">
        <f>IFERROR(__xludf.DUMMYFUNCTION("""COMPUTED_VALUE"""),"IEEE International Conference on Blockchain")</f>
        <v>IEEE International Conference on Blockchain</v>
      </c>
      <c r="C52" s="2" t="str">
        <f>IFERROR(__xludf.DUMMYFUNCTION("""COMPUTED_VALUE"""),"Conferência Internacional IEEE sobre Blockchain")</f>
        <v>Conferência Internacional IEEE sobre Blockchain</v>
      </c>
    </row>
    <row r="53">
      <c r="A53" s="4" t="s">
        <v>22</v>
      </c>
      <c r="B53" s="2" t="str">
        <f>IFERROR(__xludf.DUMMYFUNCTION("""COMPUTED_VALUE"""),"IEEE International Symposium on Broadband Multimedia Systems and Broadcasting")</f>
        <v>IEEE International Symposium on Broadband Multimedia Systems and Broadcasting</v>
      </c>
      <c r="C53" s="2" t="str">
        <f>IFERROR(__xludf.DUMMYFUNCTION("""COMPUTED_VALUE"""),"Simpósio Internacional IEEE sobre Sistemas Multimídia de Banda Larga e Radiodifusão")</f>
        <v>Simpósio Internacional IEEE sobre Sistemas Multimídia de Banda Larga e Radiodifusão</v>
      </c>
    </row>
    <row r="54">
      <c r="A54" s="5"/>
      <c r="B54" s="2" t="str">
        <f>IFERROR(__xludf.DUMMYFUNCTION("""COMPUTED_VALUE"""),"International Business Modeling and Software Design Symposium")</f>
        <v>International Business Modeling and Software Design Symposium</v>
      </c>
      <c r="C54" s="2" t="str">
        <f>IFERROR(__xludf.DUMMYFUNCTION("""COMPUTED_VALUE"""),"Simpósio Internacional de Modelagem de Negócios e Design de Software")</f>
        <v>Simpósio Internacional de Modelagem de Negócios e Design de Software</v>
      </c>
    </row>
    <row r="55">
      <c r="A55" s="4" t="s">
        <v>23</v>
      </c>
      <c r="B55" s="2" t="str">
        <f>IFERROR(__xludf.DUMMYFUNCTION("""COMPUTED_VALUE"""),"British Machine Vision Conference")</f>
        <v>British Machine Vision Conference</v>
      </c>
      <c r="C55" s="2" t="str">
        <f>IFERROR(__xludf.DUMMYFUNCTION("""COMPUTED_VALUE"""),"Conferência Britânica de Visão Computacional")</f>
        <v>Conferência Britânica de Visão Computacional</v>
      </c>
    </row>
    <row r="56">
      <c r="A56" s="5"/>
      <c r="B56" s="2" t="str">
        <f>IFERROR(__xludf.DUMMYFUNCTION("""COMPUTED_VALUE"""),"International Conference on Business Process Management")</f>
        <v>International Conference on Business Process Management</v>
      </c>
      <c r="C56" s="2" t="str">
        <f>IFERROR(__xludf.DUMMYFUNCTION("""COMPUTED_VALUE"""),"Conferência Internacional sobre Gestão de Processos de Negócios")</f>
        <v>Conferência Internacional sobre Gestão de Processos de Negócios</v>
      </c>
    </row>
    <row r="57">
      <c r="A57" s="4" t="s">
        <v>24</v>
      </c>
      <c r="B57" s="2" t="str">
        <f>IFERROR(__xludf.DUMMYFUNCTION("""COMPUTED_VALUE"""),"Workshop on Social and Human Aspects of Business Process Management")</f>
        <v>Workshop on Social and Human Aspects of Business Process Management</v>
      </c>
      <c r="C57" s="2" t="str">
        <f>IFERROR(__xludf.DUMMYFUNCTION("""COMPUTED_VALUE"""),"Workshop sobre Aspectos Sociais e Humanos da Gestão de Processos de Negócios")</f>
        <v>Workshop sobre Aspectos Sociais e Humanos da Gestão de Processos de Negócios</v>
      </c>
    </row>
    <row r="58">
      <c r="A58" s="5"/>
      <c r="B58" s="2" t="str">
        <f>IFERROR(__xludf.DUMMYFUNCTION("""COMPUTED_VALUE"""),"Brazilian Conference on Intelligent Systems")</f>
        <v>Brazilian Conference on Intelligent Systems</v>
      </c>
      <c r="C58" s="2" t="str">
        <f>IFERROR(__xludf.DUMMYFUNCTION("""COMPUTED_VALUE"""),"Conferência Brasileira de Sistemas Inteligentes")</f>
        <v>Conferência Brasileira de Sistemas Inteligentes</v>
      </c>
    </row>
    <row r="59">
      <c r="A59" s="4" t="s">
        <v>25</v>
      </c>
      <c r="B59" s="2" t="str">
        <f>IFERROR(__xludf.DUMMYFUNCTION("""COMPUTED_VALUE"""),"Brazilian Workshop on Service Robotics")</f>
        <v>Brazilian Workshop on Service Robotics</v>
      </c>
      <c r="C59" s="2" t="str">
        <f>IFERROR(__xludf.DUMMYFUNCTION("""COMPUTED_VALUE"""),"Workshop Brasileiro de Robótica de Serviço")</f>
        <v>Workshop Brasileiro de Robótica de Serviço</v>
      </c>
    </row>
    <row r="60">
      <c r="A60" s="5"/>
      <c r="B60" s="2" t="str">
        <f>IFERROR(__xludf.DUMMYFUNCTION("""COMPUTED_VALUE"""),"Brazilian Workshop on Social Network Analysis and Mining")</f>
        <v>Brazilian Workshop on Social Network Analysis and Mining</v>
      </c>
      <c r="C60" s="2" t="str">
        <f>IFERROR(__xludf.DUMMYFUNCTION("""COMPUTED_VALUE"""),"Workshop Brasileiro de Análise e Mineração de Redes Sociais")</f>
        <v>Workshop Brasileiro de Análise e Mineração de Redes Sociais</v>
      </c>
    </row>
    <row r="61">
      <c r="A61" s="4" t="s">
        <v>26</v>
      </c>
      <c r="B61" s="2" t="str">
        <f>IFERROR(__xludf.DUMMYFUNCTION("""COMPUTED_VALUE"""),"Brazilian e-Science Workshop")</f>
        <v>Brazilian e-Science Workshop</v>
      </c>
      <c r="C61" s="2" t="str">
        <f>IFERROR(__xludf.DUMMYFUNCTION("""COMPUTED_VALUE"""),"Workshop Brasileiro de e-Ciência")</f>
        <v>Workshop Brasileiro de e-Ciência</v>
      </c>
    </row>
    <row r="62">
      <c r="A62" s="5"/>
      <c r="B62" s="2" t="str">
        <f>IFERROR(__xludf.DUMMYFUNCTION("""COMPUTED_VALUE"""),"Brazilian Symposium on Bioinformatics")</f>
        <v>Brazilian Symposium on Bioinformatics</v>
      </c>
      <c r="C62" s="2" t="str">
        <f>IFERROR(__xludf.DUMMYFUNCTION("""COMPUTED_VALUE"""),"Simpósio Brasileiro de Bioinformática")</f>
        <v>Simpósio Brasileiro de Bioinformática</v>
      </c>
    </row>
    <row r="63">
      <c r="A63" s="4" t="s">
        <v>27</v>
      </c>
      <c r="B63" s="2" t="str">
        <f>IFERROR(__xludf.DUMMYFUNCTION("""COMPUTED_VALUE"""),"IEEE-EMBS International Conference on Wearable and Implantable Body Sensor Networks")</f>
        <v>IEEE-EMBS International Conference on Wearable and Implantable Body Sensor Networks</v>
      </c>
      <c r="C63" s="2" t="str">
        <f>IFERROR(__xludf.DUMMYFUNCTION("""COMPUTED_VALUE"""),"Conferência Internacional IEEE-EMBS sobre Redes de Sensores Corporais Vestíveis e Implantáveis")</f>
        <v>Conferência Internacional IEEE-EMBS sobre Redes de Sensores Corporais Vestíveis e Implantáveis</v>
      </c>
    </row>
    <row r="64">
      <c r="A64" s="5"/>
      <c r="B64" s="2" t="str">
        <f>IFERROR(__xludf.DUMMYFUNCTION("""COMPUTED_VALUE"""),"IEEE International Conference on Biometrics: Theory, Applications, and Systems")</f>
        <v>IEEE International Conference on Biometrics: Theory, Applications, and Systems</v>
      </c>
      <c r="C64" s="2" t="str">
        <f>IFERROR(__xludf.DUMMYFUNCTION("""COMPUTED_VALUE"""),"Conferência Internacional IEEE sobre Biometria: Teoria, Aplicações e Sistemas")</f>
        <v>Conferência Internacional IEEE sobre Biometria: Teoria, Aplicações e Sistemas</v>
      </c>
    </row>
    <row r="65">
      <c r="A65" s="4" t="s">
        <v>28</v>
      </c>
      <c r="B65" s="2" t="str">
        <f>IFERROR(__xludf.DUMMYFUNCTION("""COMPUTED_VALUE"""),"Brazilian Workshop on Artificial Intelligence in Finance")</f>
        <v>Brazilian Workshop on Artificial Intelligence in Finance</v>
      </c>
      <c r="C65" s="2" t="str">
        <f>IFERROR(__xludf.DUMMYFUNCTION("""COMPUTED_VALUE"""),"Workshop Brasileiro de Inteligência Artificial em Finanças")</f>
        <v>Workshop Brasileiro de Inteligência Artificial em Finanças</v>
      </c>
    </row>
    <row r="66">
      <c r="A66" s="5"/>
      <c r="B66" s="2" t="str">
        <f>IFERROR(__xludf.DUMMYFUNCTION("""COMPUTED_VALUE"""),"International Conference on Automated Deduction")</f>
        <v>International Conference on Automated Deduction</v>
      </c>
      <c r="C66" s="2" t="str">
        <f>IFERROR(__xludf.DUMMYFUNCTION("""COMPUTED_VALUE"""),"Conferência Internacional sobre Dedução Automatizada")</f>
        <v>Conferência Internacional sobre Dedução Automatizada</v>
      </c>
    </row>
    <row r="67">
      <c r="A67" s="4" t="s">
        <v>29</v>
      </c>
      <c r="B67" s="2" t="str">
        <f>IFERROR(__xludf.DUMMYFUNCTION("""COMPUTED_VALUE"""),"International Conference on AI Engineering – Software Engineering for AI")</f>
        <v>International Conference on AI Engineering – Software Engineering for AI</v>
      </c>
      <c r="C67" s="2" t="str">
        <f>IFERROR(__xludf.DUMMYFUNCTION("""COMPUTED_VALUE"""),"Conferência Internacional sobre Engenharia de IA – Engenharia de Software para IA")</f>
        <v>Conferência Internacional sobre Engenharia de IA – Engenharia de Software para IA</v>
      </c>
    </row>
    <row r="68">
      <c r="A68" s="5"/>
      <c r="B68" s="2" t="str">
        <f>IFERROR(__xludf.DUMMYFUNCTION("""COMPUTED_VALUE"""),"International Conference on Computer Analysis of Images and Patterns")</f>
        <v>International Conference on Computer Analysis of Images and Patterns</v>
      </c>
      <c r="C68" s="2" t="str">
        <f>IFERROR(__xludf.DUMMYFUNCTION("""COMPUTED_VALUE"""),"Conferência Internacional sobre Análise Computacional de Imagens e Padrões")</f>
        <v>Conferência Internacional sobre Análise Computacional de Imagens e Padrões</v>
      </c>
    </row>
    <row r="69">
      <c r="A69" s="4" t="s">
        <v>30</v>
      </c>
      <c r="B69" s="2" t="str">
        <f>IFERROR(__xludf.DUMMYFUNCTION("""COMPUTED_VALUE"""),"International Conference on Advanced Information Systems Engineering")</f>
        <v>International Conference on Advanced Information Systems Engineering</v>
      </c>
      <c r="C69" s="2" t="str">
        <f>IFERROR(__xludf.DUMMYFUNCTION("""COMPUTED_VALUE"""),"Conferência Internacional sobre Engenharia Avançada de Sistemas de Informação")</f>
        <v>Conferência Internacional sobre Engenharia Avançada de Sistemas de Informação</v>
      </c>
    </row>
    <row r="70">
      <c r="A70" s="5"/>
      <c r="B70" s="2" t="str">
        <f>IFERROR(__xludf.DUMMYFUNCTION("""COMPUTED_VALUE"""),"International Conference on Algorithms and Discrete Applied Mathematics")</f>
        <v>International Conference on Algorithms and Discrete Applied Mathematics</v>
      </c>
      <c r="C70" s="2" t="str">
        <f>IFERROR(__xludf.DUMMYFUNCTION("""COMPUTED_VALUE"""),"Conferência Internacional sobre Algoritmos e Matemática Aplicada Discreta")</f>
        <v>Conferência Internacional sobre Algoritmos e Matemática Aplicada Discreta</v>
      </c>
    </row>
    <row r="71">
      <c r="A71" s="4" t="s">
        <v>31</v>
      </c>
      <c r="B71" s="2" t="str">
        <f>IFERROR(__xludf.DUMMYFUNCTION("""COMPUTED_VALUE"""),"International Symposium on Computing and Networking")</f>
        <v>International Symposium on Computing and Networking</v>
      </c>
      <c r="C71" s="2" t="str">
        <f>IFERROR(__xludf.DUMMYFUNCTION("""COMPUTED_VALUE"""),"Simpósio Internacional sobre Computação e Redes")</f>
        <v>Simpósio Internacional sobre Computação e Redes</v>
      </c>
    </row>
    <row r="72">
      <c r="A72" s="5"/>
      <c r="B72" s="2" t="str">
        <f>IFERROR(__xludf.DUMMYFUNCTION("""COMPUTED_VALUE"""),"International Conference on Cryptology and Network Security")</f>
        <v>International Conference on Cryptology and Network Security</v>
      </c>
      <c r="C72" s="2" t="str">
        <f>IFERROR(__xludf.DUMMYFUNCTION("""COMPUTED_VALUE"""),"Conferência Internacional sobre Criptologia e Segurança de Rede")</f>
        <v>Conferência Internacional sobre Criptologia e Segurança de Rede</v>
      </c>
    </row>
    <row r="73">
      <c r="A73" s="4" t="s">
        <v>32</v>
      </c>
      <c r="B73" s="2" t="str">
        <f>IFERROR(__xludf.DUMMYFUNCTION("""COMPUTED_VALUE"""),"Annual International Conference on Computer Science and Software Engineering")</f>
        <v>Annual International Conference on Computer Science and Software Engineering</v>
      </c>
      <c r="C73" s="2" t="str">
        <f>IFERROR(__xludf.DUMMYFUNCTION("""COMPUTED_VALUE"""),"Conferência Internacional Anual sobre Ciência da Computação e Engenharia de Software")</f>
        <v>Conferência Internacional Anual sobre Ciência da Computação e Engenharia de Software</v>
      </c>
    </row>
    <row r="74">
      <c r="A74" s="5"/>
      <c r="B74" s="2" t="str">
        <f>IFERROR(__xludf.DUMMYFUNCTION("""COMPUTED_VALUE"""),"IEEE Conference on Automation Science and Engineering")</f>
        <v>IEEE Conference on Automation Science and Engineering</v>
      </c>
      <c r="C74" s="2" t="str">
        <f>IFERROR(__xludf.DUMMYFUNCTION("""COMPUTED_VALUE"""),"Conferência IEEE sobre Ciência e Engenharia de Automação")</f>
        <v>Conferência IEEE sobre Ciência e Engenharia de Automação</v>
      </c>
    </row>
    <row r="75">
      <c r="A75" s="4" t="s">
        <v>33</v>
      </c>
      <c r="B75" s="2" t="str">
        <f>IFERROR(__xludf.DUMMYFUNCTION("""COMPUTED_VALUE"""),"International Conference on Computers and their Applications")</f>
        <v>International Conference on Computers and their Applications</v>
      </c>
      <c r="C75" s="2" t="str">
        <f>IFERROR(__xludf.DUMMYFUNCTION("""COMPUTED_VALUE"""),"Conferência Internacional sobre Computadores e suas Aplicações")</f>
        <v>Conferência Internacional sobre Computadores e suas Aplicações</v>
      </c>
    </row>
    <row r="76">
      <c r="A76" s="5"/>
      <c r="B76" s="2" t="str">
        <f>IFERROR(__xludf.DUMMYFUNCTION("""COMPUTED_VALUE"""),"International Conference on Computer Aided Verification")</f>
        <v>International Conference on Computer Aided Verification</v>
      </c>
      <c r="C76" s="2" t="str">
        <f>IFERROR(__xludf.DUMMYFUNCTION("""COMPUTED_VALUE"""),"Conferência Internacional sobre Verificação Auxiliada por Computador")</f>
        <v>Conferência Internacional sobre Verificação Auxiliada por Computador</v>
      </c>
    </row>
    <row r="77">
      <c r="A77" s="4" t="s">
        <v>34</v>
      </c>
      <c r="B77" s="2" t="str">
        <f>IFERROR(__xludf.DUMMYFUNCTION("""COMPUTED_VALUE"""),"Congresso Brasileiro de Automática")</f>
        <v>Congresso Brasileiro de Automática</v>
      </c>
      <c r="C77" s="2" t="str">
        <f>IFERROR(__xludf.DUMMYFUNCTION("""COMPUTED_VALUE"""),"Brazilian Congress of Automation")</f>
        <v>Brazilian Congress of Automation</v>
      </c>
    </row>
    <row r="78">
      <c r="A78" s="5"/>
      <c r="B78" s="2" t="str">
        <f>IFERROR(__xludf.DUMMYFUNCTION("""COMPUTED_VALUE"""),"IEEE Conference on Business Informatics")</f>
        <v>IEEE Conference on Business Informatics</v>
      </c>
      <c r="C78" s="2" t="str">
        <f>IFERROR(__xludf.DUMMYFUNCTION("""COMPUTED_VALUE"""),"Conferência IEEE sobre Informática de Negócios")</f>
        <v>Conferência IEEE sobre Informática de Negócios</v>
      </c>
    </row>
    <row r="79">
      <c r="A79" s="4" t="s">
        <v>35</v>
      </c>
      <c r="B79" s="2" t="str">
        <f>IFERROR(__xludf.DUMMYFUNCTION("""COMPUTED_VALUE"""),"Congresso Brasileiro de Inteligência Computacional")</f>
        <v>Congresso Brasileiro de Inteligência Computacional</v>
      </c>
      <c r="C79" s="2" t="str">
        <f>IFERROR(__xludf.DUMMYFUNCTION("""COMPUTED_VALUE"""),"Brazilian Congress on Computational Intelligence")</f>
        <v>Brazilian Congress on Computational Intelligence</v>
      </c>
    </row>
    <row r="80">
      <c r="A80" s="5"/>
      <c r="B80" s="2" t="str">
        <f>IFERROR(__xludf.DUMMYFUNCTION("""COMPUTED_VALUE"""),"Congresso Brasileiro de Informática em Saúde")</f>
        <v>Congresso Brasileiro de Informática em Saúde</v>
      </c>
      <c r="C80" s="2" t="str">
        <f>IFERROR(__xludf.DUMMYFUNCTION("""COMPUTED_VALUE"""),"Brazilian Congress on Health Informatics")</f>
        <v>Brazilian Congress on Health Informatics</v>
      </c>
    </row>
    <row r="81">
      <c r="A81" s="4" t="s">
        <v>36</v>
      </c>
      <c r="B81" s="2" t="str">
        <f>IFERROR(__xludf.DUMMYFUNCTION("""COMPUTED_VALUE"""),"International Workshop on Content-Based Multimedia Indexing")</f>
        <v>International Workshop on Content-Based Multimedia Indexing</v>
      </c>
      <c r="C81" s="2" t="str">
        <f>IFERROR(__xludf.DUMMYFUNCTION("""COMPUTED_VALUE"""),"Workshop Internacional sobre Indexação Multimídia Baseada em Conteúdo")</f>
        <v>Workshop Internacional sobre Indexação Multimídia Baseada em Conteúdo</v>
      </c>
    </row>
    <row r="82">
      <c r="A82" s="5"/>
      <c r="B82" s="2" t="str">
        <f>IFERROR(__xludf.DUMMYFUNCTION("""COMPUTED_VALUE"""),"International Symposium on Computer-Based Medical Systems")</f>
        <v>International Symposium on Computer-Based Medical Systems</v>
      </c>
      <c r="C82" s="2" t="str">
        <f>IFERROR(__xludf.DUMMYFUNCTION("""COMPUTED_VALUE"""),"Simpósio Internacional sobre Sistemas Médicos Baseados em Computador")</f>
        <v>Simpósio Internacional sobre Sistemas Médicos Baseados em Computador</v>
      </c>
    </row>
    <row r="83">
      <c r="A83" s="4" t="s">
        <v>37</v>
      </c>
      <c r="B83" s="2" t="str">
        <f>IFERROR(__xludf.DUMMYFUNCTION("""COMPUTED_VALUE"""),"International Conference on Compiler Construction")</f>
        <v>International Conference on Compiler Construction</v>
      </c>
      <c r="C83" s="2" t="str">
        <f>IFERROR(__xludf.DUMMYFUNCTION("""COMPUTED_VALUE"""),"Conferência Internacional sobre Construção de Compiladores")</f>
        <v>Conferência Internacional sobre Construção de Compiladores</v>
      </c>
    </row>
    <row r="84">
      <c r="A84" s="5"/>
      <c r="B84" s="2" t="str">
        <f>IFERROR(__xludf.DUMMYFUNCTION("""COMPUTED_VALUE"""),"IEEE Conference on Computational Complexity")</f>
        <v>IEEE Conference on Computational Complexity</v>
      </c>
      <c r="C84" s="2" t="str">
        <f>IFERROR(__xludf.DUMMYFUNCTION("""COMPUTED_VALUE"""),"Conferência IEEE sobre Complexidade Computacional")</f>
        <v>Conferência IEEE sobre Complexidade Computacional</v>
      </c>
    </row>
    <row r="85">
      <c r="A85" s="4" t="s">
        <v>38</v>
      </c>
      <c r="B85" s="2" t="str">
        <f>IFERROR(__xludf.DUMMYFUNCTION("""COMPUTED_VALUE"""),"Canadian Conference on Computational Geometry")</f>
        <v>Canadian Conference on Computational Geometry</v>
      </c>
      <c r="C85" s="2" t="str">
        <f>IFERROR(__xludf.DUMMYFUNCTION("""COMPUTED_VALUE"""),"Conferência Canadense de Geometria Computacional")</f>
        <v>Conferência Canadense de Geometria Computacional</v>
      </c>
    </row>
    <row r="86">
      <c r="A86" s="5"/>
      <c r="B86" s="2" t="str">
        <f>IFERROR(__xludf.DUMMYFUNCTION("""COMPUTED_VALUE"""),"Canadian Conference on Electrical and Computer Engineering")</f>
        <v>Canadian Conference on Electrical and Computer Engineering</v>
      </c>
      <c r="C86" s="2" t="str">
        <f>IFERROR(__xludf.DUMMYFUNCTION("""COMPUTED_VALUE"""),"Conferência Canadense de Engenharia Elétrica e de Computação")</f>
        <v>Conferência Canadense de Engenharia Elétrica e de Computação</v>
      </c>
    </row>
    <row r="87">
      <c r="A87" s="4" t="s">
        <v>39</v>
      </c>
      <c r="B87" s="2" t="str">
        <f>IFERROR(__xludf.DUMMYFUNCTION("""COMPUTED_VALUE"""),"IEEE/ACM International Symposium on Cluster, Cloud and Grid Computing")</f>
        <v>IEEE/ACM International Symposium on Cluster, Cloud and Grid Computing</v>
      </c>
      <c r="C87" s="2" t="str">
        <f>IFERROR(__xludf.DUMMYFUNCTION("""COMPUTED_VALUE"""),"Simpósio Internacional IEEE/ACM sobre Computação em Cluster, Nuvem e Grade")</f>
        <v>Simpósio Internacional IEEE/ACM sobre Computação em Cluster, Nuvem e Grade</v>
      </c>
    </row>
    <row r="88">
      <c r="A88" s="5"/>
      <c r="B88" s="2" t="str">
        <f>IFERROR(__xludf.DUMMYFUNCTION("""COMPUTED_VALUE"""),"Annual IEEE Consumer Communications &amp; Networking Conference")</f>
        <v>Annual IEEE Consumer Communications &amp; Networking Conference</v>
      </c>
      <c r="C88" s="2" t="str">
        <f>IFERROR(__xludf.DUMMYFUNCTION("""COMPUTED_VALUE"""),"Conferência Anual IEEE de Comunicações e Redes ao Consumidor")</f>
        <v>Conferência Anual IEEE de Comunicações e Redes ao Consumidor</v>
      </c>
    </row>
    <row r="89">
      <c r="A89" s="4" t="s">
        <v>40</v>
      </c>
      <c r="B89" s="2" t="str">
        <f>IFERROR(__xludf.DUMMYFUNCTION("""COMPUTED_VALUE"""),"ACM Symposium on Computer and Communications Security")</f>
        <v>ACM Symposium on Computer and Communications Security</v>
      </c>
      <c r="C89" s="2" t="str">
        <f>IFERROR(__xludf.DUMMYFUNCTION("""COMPUTED_VALUE"""),"Simpósio ACM sobre Segurança de Computadores e Comunicações")</f>
        <v>Simpósio ACM sobre Segurança de Computadores e Comunicações</v>
      </c>
    </row>
    <row r="90">
      <c r="A90" s="5"/>
      <c r="B90" s="2" t="str">
        <f>IFERROR(__xludf.DUMMYFUNCTION("""COMPUTED_VALUE"""),"IEEE Conference on Decision and Control")</f>
        <v>IEEE Conference on Decision and Control</v>
      </c>
      <c r="C90" s="2" t="str">
        <f>IFERROR(__xludf.DUMMYFUNCTION("""COMPUTED_VALUE"""),"Conferência IEEE sobre Decisão e Controle")</f>
        <v>Conferência IEEE sobre Decisão e Controle</v>
      </c>
    </row>
    <row r="91">
      <c r="A91" s="4" t="s">
        <v>41</v>
      </c>
      <c r="B91" s="2" t="str">
        <f>IFERROR(__xludf.DUMMYFUNCTION("""COMPUTED_VALUE"""),"IEEE Congress on Evolutionary Computation")</f>
        <v>IEEE Congress on Evolutionary Computation</v>
      </c>
      <c r="C91" s="2" t="str">
        <f>IFERROR(__xludf.DUMMYFUNCTION("""COMPUTED_VALUE"""),"Congresso IEEE sobre Computação Evolutiva")</f>
        <v>Congresso IEEE sobre Computação Evolutiva</v>
      </c>
    </row>
    <row r="92">
      <c r="A92" s="5"/>
      <c r="B92" s="2" t="str">
        <f>IFERROR(__xludf.DUMMYFUNCTION("""COMPUTED_VALUE"""),"ACM International Conference on Computing Frontiers")</f>
        <v>ACM International Conference on Computing Frontiers</v>
      </c>
      <c r="C92" s="2" t="str">
        <f>IFERROR(__xludf.DUMMYFUNCTION("""COMPUTED_VALUE"""),"Conferência Internacional ACM sobre Fronteiras da Computação")</f>
        <v>Conferência Internacional ACM sobre Fronteiras da Computação</v>
      </c>
    </row>
    <row r="93">
      <c r="A93" s="4" t="s">
        <v>42</v>
      </c>
      <c r="B93" s="2" t="str">
        <f>IFERROR(__xludf.DUMMYFUNCTION("""COMPUTED_VALUE"""),"Computer Graphics International Conference")</f>
        <v>Computer Graphics International Conference</v>
      </c>
      <c r="C93" s="2" t="str">
        <f>IFERROR(__xludf.DUMMYFUNCTION("""COMPUTED_VALUE"""),"Conferência Internacional de Computação Gráfica")</f>
        <v>Conferência Internacional de Computação Gráfica</v>
      </c>
    </row>
    <row r="94">
      <c r="A94" s="5"/>
      <c r="B94" s="2" t="str">
        <f>IFERROR(__xludf.DUMMYFUNCTION("""COMPUTED_VALUE"""),"International Symposium on Code Generation and Optimization")</f>
        <v>International Symposium on Code Generation and Optimization</v>
      </c>
      <c r="C94" s="2" t="str">
        <f>IFERROR(__xludf.DUMMYFUNCTION("""COMPUTED_VALUE"""),"Simpósio Internacional sobre Geração de Código e Otimização")</f>
        <v>Simpósio Internacional sobre Geração de Código e Otimização</v>
      </c>
    </row>
    <row r="95">
      <c r="A95" s="4" t="s">
        <v>43</v>
      </c>
      <c r="B95" s="2" t="str">
        <f>IFERROR(__xludf.DUMMYFUNCTION("""COMPUTED_VALUE"""),"International Workshop on Cooperative and Human Aspects of Software Engineering")</f>
        <v>International Workshop on Cooperative and Human Aspects of Software Engineering</v>
      </c>
      <c r="C95" s="2" t="str">
        <f>IFERROR(__xludf.DUMMYFUNCTION("""COMPUTED_VALUE"""),"Workshop Internacional sobre Aspectos Cooperativos e Humanos da Engenharia de Software")</f>
        <v>Workshop Internacional sobre Aspectos Cooperativos e Humanos da Engenharia de Software</v>
      </c>
    </row>
    <row r="96">
      <c r="A96" s="5"/>
      <c r="B96" s="2" t="str">
        <f>IFERROR(__xludf.DUMMYFUNCTION("""COMPUTED_VALUE"""),"ACM Conference on Human Factors in Computing Systems")</f>
        <v>ACM Conference on Human Factors in Computing Systems</v>
      </c>
      <c r="C96" s="2" t="str">
        <f>IFERROR(__xludf.DUMMYFUNCTION("""COMPUTED_VALUE"""),"Conferência ACM sobre Fatores Humanos em Sistemas Computacionais")</f>
        <v>Conferência ACM sobre Fatores Humanos em Sistemas Computacionais</v>
      </c>
    </row>
    <row r="97">
      <c r="A97" s="4" t="s">
        <v>44</v>
      </c>
      <c r="B97" s="2" t="str">
        <f>IFERROR(__xludf.DUMMYFUNCTION("""COMPUTED_VALUE"""),"ACM SIGCHI Annual Symposium on Computer-Human Interaction in Play")</f>
        <v>ACM SIGCHI Annual Symposium on Computer-Human Interaction in Play</v>
      </c>
      <c r="C97" s="2" t="str">
        <f>IFERROR(__xludf.DUMMYFUNCTION("""COMPUTED_VALUE"""),"Simpósio Anual ACM SIGCHI sobre Interação Computador-Humano em Jogos")</f>
        <v>Simpósio Anual ACM SIGCHI sobre Interação Computador-Humano em Jogos</v>
      </c>
    </row>
    <row r="98">
      <c r="A98" s="5"/>
      <c r="B98" s="2" t="str">
        <f>IFERROR(__xludf.DUMMYFUNCTION("""COMPUTED_VALUE"""),"International Conference on Algorithms and Complexity")</f>
        <v>International Conference on Algorithms and Complexity</v>
      </c>
      <c r="C98" s="2" t="str">
        <f>IFERROR(__xludf.DUMMYFUNCTION("""COMPUTED_VALUE"""),"Conferência Internacional sobre Algoritmos e Complexidade")</f>
        <v>Conferência Internacional sobre Algoritmos e Complexidade</v>
      </c>
    </row>
    <row r="99">
      <c r="A99" s="4" t="s">
        <v>45</v>
      </c>
      <c r="B99" s="2" t="str">
        <f>IFERROR(__xludf.DUMMYFUNCTION("""COMPUTED_VALUE"""),"Iberoamerican Congress on Pattern Recognition")</f>
        <v>Iberoamerican Congress on Pattern Recognition</v>
      </c>
      <c r="C99" s="2" t="str">
        <f>IFERROR(__xludf.DUMMYFUNCTION("""COMPUTED_VALUE"""),"Congresso Ibero-americano de Reconhecimento de Padrões")</f>
        <v>Congresso Ibero-americano de Reconhecimento de Padrões</v>
      </c>
    </row>
    <row r="100">
      <c r="A100" s="5"/>
      <c r="B100" s="2" t="str">
        <f>IFERROR(__xludf.DUMMYFUNCTION("""COMPUTED_VALUE"""),"IEEE Conference on Computational Intelligence in Bioinformatics and Computational Biology")</f>
        <v>IEEE Conference on Computational Intelligence in Bioinformatics and Computational Biology</v>
      </c>
      <c r="C100" s="2" t="str">
        <f>IFERROR(__xludf.DUMMYFUNCTION("""COMPUTED_VALUE"""),"Conferência IEEE sobre Inteligência Computacional em Bioinformática e Biologia Computacional")</f>
        <v>Conferência IEEE sobre Inteligência Computacional em Bioinformática e Biologia Computacional</v>
      </c>
    </row>
    <row r="101">
      <c r="A101" s="4" t="s">
        <v>46</v>
      </c>
      <c r="B101" s="2" t="str">
        <f>IFERROR(__xludf.DUMMYFUNCTION("""COMPUTED_VALUE"""),"Conferencia Iberoamericana de Software Engineering")</f>
        <v>Conferencia Iberoamericana de Software Engineering</v>
      </c>
      <c r="C101" s="2" t="str">
        <f>IFERROR(__xludf.DUMMYFUNCTION("""COMPUTED_VALUE"""),"Ibero-American Conference on Software Engineering")</f>
        <v>Ibero-American Conference on Software Engineering</v>
      </c>
    </row>
    <row r="102">
      <c r="A102" s="5"/>
      <c r="B102" s="2" t="str">
        <f>IFERROR(__xludf.DUMMYFUNCTION("""COMPUTED_VALUE"""),"International Conference on Intelligent Text Processing and Computational Linguistics")</f>
        <v>International Conference on Intelligent Text Processing and Computational Linguistics</v>
      </c>
      <c r="C102" s="2" t="str">
        <f>IFERROR(__xludf.DUMMYFUNCTION("""COMPUTED_VALUE"""),"Conferência Internacional sobre Processamento Inteligente de Texto e Linguística Computacional")</f>
        <v>Conferência Internacional sobre Processamento Inteligente de Texto e Linguística Computacional</v>
      </c>
    </row>
    <row r="103">
      <c r="A103" s="4" t="s">
        <v>47</v>
      </c>
      <c r="B103" s="2" t="str">
        <f>IFERROR(__xludf.DUMMYFUNCTION("""COMPUTED_VALUE"""),"Congresso Internacional de Design da Informação")</f>
        <v>Congresso Internacional de Design da Informação</v>
      </c>
      <c r="C103" s="2" t="str">
        <f>IFERROR(__xludf.DUMMYFUNCTION("""COMPUTED_VALUE"""),"International Congress of Information Design")</f>
        <v>International Congress of Information Design</v>
      </c>
    </row>
    <row r="104">
      <c r="A104" s="5"/>
      <c r="B104" s="2" t="str">
        <f>IFERROR(__xludf.DUMMYFUNCTION("""COMPUTED_VALUE"""),"ACM International Conference on Information and Knowledge Management")</f>
        <v>ACM International Conference on Information and Knowledge Management</v>
      </c>
      <c r="C104" s="2" t="str">
        <f>IFERROR(__xludf.DUMMYFUNCTION("""COMPUTED_VALUE"""),"Conferência Internacional ACM sobre Gestão de Informação e Conhecimento")</f>
        <v>Conferência Internacional ACM sobre Gestão de Informação e Conhecimento</v>
      </c>
    </row>
    <row r="105">
      <c r="A105" s="4" t="s">
        <v>48</v>
      </c>
      <c r="B105" s="2" t="str">
        <f>IFERROR(__xludf.DUMMYFUNCTION("""COMPUTED_VALUE"""),"Iberian Latin American Congress on Computational Methods")</f>
        <v>Iberian Latin American Congress on Computational Methods</v>
      </c>
      <c r="C105" s="2" t="str">
        <f>IFERROR(__xludf.DUMMYFUNCTION("""COMPUTED_VALUE"""),"Congresso Ibero-Latino-Americano de Métodos Computacionais")</f>
        <v>Congresso Ibero-Latino-Americano de Métodos Computacionais</v>
      </c>
    </row>
    <row r="106">
      <c r="A106" s="5"/>
      <c r="B106" s="2" t="str">
        <f>IFERROR(__xludf.DUMMYFUNCTION("""COMPUTED_VALUE"""),"Iberian Conference on Information Systems and Technologies")</f>
        <v>Iberian Conference on Information Systems and Technologies</v>
      </c>
      <c r="C106" s="2" t="str">
        <f>IFERROR(__xludf.DUMMYFUNCTION("""COMPUTED_VALUE"""),"Conferência Ibérica sobre Sistemas e Tecnologias de Informação")</f>
        <v>Conferência Ibérica sobre Sistemas e Tecnologias de Informação</v>
      </c>
    </row>
    <row r="107">
      <c r="A107" s="4" t="s">
        <v>49</v>
      </c>
      <c r="B107" s="2" t="str">
        <f>IFERROR(__xludf.DUMMYFUNCTION("""COMPUTED_VALUE"""),"IEEE International Conference on Information Technology")</f>
        <v>IEEE International Conference on Information Technology</v>
      </c>
      <c r="C107" s="2" t="str">
        <f>IFERROR(__xludf.DUMMYFUNCTION("""COMPUTED_VALUE"""),"Conferência Internacional IEEE sobre Tecnologia da Informação")</f>
        <v>Conferência Internacional IEEE sobre Tecnologia da Informação</v>
      </c>
    </row>
    <row r="108">
      <c r="A108" s="5"/>
      <c r="B108" s="2" t="str">
        <f>IFERROR(__xludf.DUMMYFUNCTION("""COMPUTED_VALUE"""),"Latin-Ibero-American Conference on Operations Research")</f>
        <v>Latin-Ibero-American Conference on Operations Research</v>
      </c>
      <c r="C108" s="2" t="str">
        <f>IFERROR(__xludf.DUMMYFUNCTION("""COMPUTED_VALUE"""),"Conferência Latino-Ibero-Americana de Pesquisa Operacional")</f>
        <v>Conferência Latino-Ibero-Americana de Pesquisa Operacional</v>
      </c>
    </row>
    <row r="109">
      <c r="A109" s="4" t="s">
        <v>50</v>
      </c>
      <c r="B109" s="2" t="str">
        <f>IFERROR(__xludf.DUMMYFUNCTION("""COMPUTED_VALUE"""),"Conference and Labs of the Evaluation Forum")</f>
        <v>Conference and Labs of the Evaluation Forum</v>
      </c>
      <c r="C109" s="2" t="str">
        <f>IFERROR(__xludf.DUMMYFUNCTION("""COMPUTED_VALUE"""),"Conferência e Laboratórios do Fórum de Avaliação")</f>
        <v>Conferência e Laboratórios do Fórum de Avaliação</v>
      </c>
    </row>
    <row r="110">
      <c r="A110" s="5"/>
      <c r="B110" s="2" t="str">
        <f>IFERROR(__xludf.DUMMYFUNCTION("""COMPUTED_VALUE"""),"Conferencia Latinoamericana de Informática")</f>
        <v>Conferencia Latinoamericana de Informática</v>
      </c>
      <c r="C110" s="2" t="str">
        <f>IFERROR(__xludf.DUMMYFUNCTION("""COMPUTED_VALUE"""),"Latin American Conference on Informatics")</f>
        <v>Latin American Conference on Informatics</v>
      </c>
    </row>
    <row r="111">
      <c r="A111" s="4" t="s">
        <v>51</v>
      </c>
      <c r="B111" s="2" t="str">
        <f>IFERROR(__xludf.DUMMYFUNCTION("""COMPUTED_VALUE"""),"Latin American Conference on Human Computer Interaction")</f>
        <v>Latin American Conference on Human Computer Interaction</v>
      </c>
      <c r="C111" s="2" t="str">
        <f>IFERROR(__xludf.DUMMYFUNCTION("""COMPUTED_VALUE"""),"Conferência Latino-Americana de Interação Humano-Computador")</f>
        <v>Conferência Latino-Americana de Interação Humano-Computador</v>
      </c>
    </row>
    <row r="112">
      <c r="A112" s="5"/>
      <c r="B112" s="2" t="str">
        <f>IFERROR(__xludf.DUMMYFUNCTION("""COMPUTED_VALUE"""),"International Conference on Cloud Computing and Services Science")</f>
        <v>International Conference on Cloud Computing and Services Science</v>
      </c>
      <c r="C112" s="2" t="str">
        <f>IFERROR(__xludf.DUMMYFUNCTION("""COMPUTED_VALUE"""),"Conferência Internacional sobre Computação em Nuvem e Ciência de Serviços")</f>
        <v>Conferência Internacional sobre Computação em Nuvem e Ciência de Serviços</v>
      </c>
    </row>
    <row r="113">
      <c r="A113" s="4" t="s">
        <v>52</v>
      </c>
      <c r="B113" s="2" t="str">
        <f>IFERROR(__xludf.DUMMYFUNCTION("""COMPUTED_VALUE"""),"IEEE International Conference on Cloud Computing")</f>
        <v>IEEE International Conference on Cloud Computing</v>
      </c>
      <c r="C113" s="2" t="str">
        <f>IFERROR(__xludf.DUMMYFUNCTION("""COMPUTED_VALUE"""),"Conferência Internacional IEEE sobre Computação em Nuvem")</f>
        <v>Conferência Internacional IEEE sobre Computação em Nuvem</v>
      </c>
    </row>
    <row r="114">
      <c r="A114" s="5"/>
      <c r="B114" s="2" t="str">
        <f>IFERROR(__xludf.DUMMYFUNCTION("""COMPUTED_VALUE"""),"IEEE International Conference on Cloud Computing Technology and Science")</f>
        <v>IEEE International Conference on Cloud Computing Technology and Science</v>
      </c>
      <c r="C114" s="2" t="str">
        <f>IFERROR(__xludf.DUMMYFUNCTION("""COMPUTED_VALUE"""),"Conferência Internacional IEEE sobre Tecnologia e Ciência da Computação em Nuvem")</f>
        <v>Conferência Internacional IEEE sobre Tecnologia e Ciência da Computação em Nuvem</v>
      </c>
    </row>
    <row r="115">
      <c r="A115" s="4" t="s">
        <v>53</v>
      </c>
      <c r="B115" s="2" t="str">
        <f>IFERROR(__xludf.DUMMYFUNCTION("""COMPUTED_VALUE"""),"IEEE International Conference on Cloud Networking")</f>
        <v>IEEE International Conference on Cloud Networking</v>
      </c>
      <c r="C115" s="2" t="str">
        <f>IFERROR(__xludf.DUMMYFUNCTION("""COMPUTED_VALUE"""),"Conferência Internacional IEEE sobre Redes em Nuvem")</f>
        <v>Conferência Internacional IEEE sobre Redes em Nuvem</v>
      </c>
    </row>
    <row r="116">
      <c r="A116" s="5"/>
      <c r="B116" s="2" t="str">
        <f>IFERROR(__xludf.DUMMYFUNCTION("""COMPUTED_VALUE"""),"IEEE International Conference on Cluster Computing")</f>
        <v>IEEE International Conference on Cluster Computing</v>
      </c>
      <c r="C116" s="2" t="str">
        <f>IFERROR(__xludf.DUMMYFUNCTION("""COMPUTED_VALUE"""),"Conferência Internacional IEEE sobre Computação em Cluster")</f>
        <v>Conferência Internacional IEEE sobre Computação em Cluster</v>
      </c>
    </row>
    <row r="117">
      <c r="A117" s="4" t="s">
        <v>54</v>
      </c>
      <c r="B117" s="2" t="str">
        <f>IFERROR(__xludf.DUMMYFUNCTION("""COMPUTED_VALUE"""),"International Symposium on Computer Music Multidisciplinary Research")</f>
        <v>International Symposium on Computer Music Multidisciplinary Research</v>
      </c>
      <c r="C117" s="2" t="str">
        <f>IFERROR(__xludf.DUMMYFUNCTION("""COMPUTED_VALUE"""),"Simpósio Internacional de Pesquisa Multidisciplinar em Música Computacional")</f>
        <v>Simpósio Internacional de Pesquisa Multidisciplinar em Música Computacional</v>
      </c>
    </row>
    <row r="118">
      <c r="A118" s="5"/>
      <c r="B118" s="2" t="str">
        <f>IFERROR(__xludf.DUMMYFUNCTION("""COMPUTED_VALUE"""),"Congress on Numerical Methods in Engineering")</f>
        <v>Congress on Numerical Methods in Engineering</v>
      </c>
      <c r="C118" s="2" t="str">
        <f>IFERROR(__xludf.DUMMYFUNCTION("""COMPUTED_VALUE"""),"Congresso sobre Métodos Numéricos em Engenharia")</f>
        <v>Congresso sobre Métodos Numéricos em Engenharia</v>
      </c>
    </row>
    <row r="119">
      <c r="A119" s="4" t="s">
        <v>55</v>
      </c>
      <c r="B119" s="2" t="str">
        <f>IFERROR(__xludf.DUMMYFUNCTION("""COMPUTED_VALUE"""),"Congresso Nacional de Matemática Aplicada e Computacional")</f>
        <v>Congresso Nacional de Matemática Aplicada e Computacional</v>
      </c>
      <c r="C119" s="2" t="str">
        <f>IFERROR(__xludf.DUMMYFUNCTION("""COMPUTED_VALUE"""),"National Congress of Applied and Computational Mathematics")</f>
        <v>National Congress of Applied and Computational Mathematics</v>
      </c>
    </row>
    <row r="120">
      <c r="A120" s="5"/>
      <c r="B120" s="2" t="str">
        <f>IFERROR(__xludf.DUMMYFUNCTION("""COMPUTED_VALUE"""),"International Conference on Network and Service Management")</f>
        <v>International Conference on Network and Service Management</v>
      </c>
      <c r="C120" s="2" t="str">
        <f>IFERROR(__xludf.DUMMYFUNCTION("""COMPUTED_VALUE"""),"Conferência Internacional sobre Gestão de Redes e Serviços")</f>
        <v>Conferência Internacional sobre Gestão de Redes e Serviços</v>
      </c>
    </row>
    <row r="121">
      <c r="A121" s="4" t="s">
        <v>56</v>
      </c>
      <c r="B121" s="2" t="str">
        <f>IFERROR(__xludf.DUMMYFUNCTION("""COMPUTED_VALUE"""),"International Conference on Combinatorial Optimization and Applications")</f>
        <v>International Conference on Combinatorial Optimization and Applications</v>
      </c>
      <c r="C121" s="2" t="str">
        <f>IFERROR(__xludf.DUMMYFUNCTION("""COMPUTED_VALUE"""),"Conferência Internacional sobre Otimização Combinatória e Aplicações")</f>
        <v>Conferência Internacional sobre Otimização Combinatória e Aplicações</v>
      </c>
    </row>
    <row r="122">
      <c r="A122" s="5"/>
      <c r="B122" s="2" t="str">
        <f>IFERROR(__xludf.DUMMYFUNCTION("""COMPUTED_VALUE"""),"International Computing and Combinatorics Conference")</f>
        <v>International Computing and Combinatorics Conference</v>
      </c>
      <c r="C122" s="2" t="str">
        <f>IFERROR(__xludf.DUMMYFUNCTION("""COMPUTED_VALUE"""),"Conferência Internacional de Computação e Combinatória")</f>
        <v>Conferência Internacional de Computação e Combinatória</v>
      </c>
    </row>
    <row r="123">
      <c r="A123" s="4" t="s">
        <v>57</v>
      </c>
      <c r="B123" s="2" t="str">
        <f>IFERROR(__xludf.DUMMYFUNCTION("""COMPUTED_VALUE"""),"Conference on Games")</f>
        <v>Conference on Games</v>
      </c>
      <c r="C123" s="2" t="str">
        <f>IFERROR(__xludf.DUMMYFUNCTION("""COMPUTED_VALUE"""),"Conferência sobre Jogos")</f>
        <v>Conferência sobre Jogos</v>
      </c>
    </row>
    <row r="124">
      <c r="A124" s="5"/>
      <c r="B124" s="2" t="str">
        <f>IFERROR(__xludf.DUMMYFUNCTION("""COMPUTED_VALUE"""),"International Conference on Computational Linguistics")</f>
        <v>International Conference on Computational Linguistics</v>
      </c>
      <c r="C124" s="2" t="str">
        <f>IFERROR(__xludf.DUMMYFUNCTION("""COMPUTED_VALUE"""),"Conferência Internacional sobre Linguística Computacional")</f>
        <v>Conferência Internacional sobre Linguística Computacional</v>
      </c>
    </row>
    <row r="125">
      <c r="A125" s="4" t="s">
        <v>58</v>
      </c>
      <c r="B125" s="2" t="str">
        <f>IFERROR(__xludf.DUMMYFUNCTION("""COMPUTED_VALUE"""),"Computational Methods in Systems and Software")</f>
        <v>Computational Methods in Systems and Software</v>
      </c>
      <c r="C125" s="2" t="str">
        <f>IFERROR(__xludf.DUMMYFUNCTION("""COMPUTED_VALUE"""),"Métodos Computacionais em Sistemas e Software")</f>
        <v>Métodos Computacionais em Sistemas e Software</v>
      </c>
    </row>
    <row r="126">
      <c r="A126" s="5"/>
      <c r="B126" s="2" t="str">
        <f>IFERROR(__xludf.DUMMYFUNCTION("""COMPUTED_VALUE"""),"International Conference on Complex Networks and Their Applications")</f>
        <v>International Conference on Complex Networks and Their Applications</v>
      </c>
      <c r="C126" s="2" t="str">
        <f>IFERROR(__xludf.DUMMYFUNCTION("""COMPUTED_VALUE"""),"Conferência Internacional sobre Redes Complexas e suas Aplicações")</f>
        <v>Conferência Internacional sobre Redes Complexas e suas Aplicações</v>
      </c>
    </row>
    <row r="127">
      <c r="A127" s="4" t="s">
        <v>59</v>
      </c>
      <c r="B127" s="2" t="str">
        <f>IFERROR(__xludf.DUMMYFUNCTION("""COMPUTED_VALUE"""),"IEEE Computer Software and Applications Conference")</f>
        <v>IEEE Computer Software and Applications Conference</v>
      </c>
      <c r="C127" s="2" t="str">
        <f>IFERROR(__xludf.DUMMYFUNCTION("""COMPUTED_VALUE"""),"Conferência IEEE de Software e Aplicações Computacionais")</f>
        <v>Conferência IEEE de Software e Aplicações Computacionais</v>
      </c>
    </row>
    <row r="128">
      <c r="A128" s="5"/>
      <c r="B128" s="2" t="str">
        <f>IFERROR(__xludf.DUMMYFUNCTION("""COMPUTED_VALUE"""),"International Conference on Communication Systems &amp; NetworkS")</f>
        <v>International Conference on Communication Systems &amp; NetworkS</v>
      </c>
      <c r="C128" s="2" t="str">
        <f>IFERROR(__xludf.DUMMYFUNCTION("""COMPUTED_VALUE"""),"Conferência Internacional sobre Sistemas de Comunicação e Redes")</f>
        <v>Conferência Internacional sobre Sistemas de Comunicação e Redes</v>
      </c>
    </row>
    <row r="129">
      <c r="A129" s="4" t="s">
        <v>60</v>
      </c>
      <c r="B129" s="2" t="str">
        <f>IFERROR(__xludf.DUMMYFUNCTION("""COMPUTED_VALUE"""),"Conference on Emerging Network Experiment and Technology")</f>
        <v>Conference on Emerging Network Experiment and Technology</v>
      </c>
      <c r="C129" s="2" t="str">
        <f>IFERROR(__xludf.DUMMYFUNCTION("""COMPUTED_VALUE"""),"Conferência sobre Experimentos e Tecnologias de Rede Emergentes")</f>
        <v>Conferência sobre Experimentos e Tecnologias de Rede Emergentes</v>
      </c>
    </row>
    <row r="130">
      <c r="A130" s="5"/>
      <c r="B130" s="2" t="str">
        <f>IFERROR(__xludf.DUMMYFUNCTION("""COMPUTED_VALUE"""),"Conference on Natural Language Learning")</f>
        <v>Conference on Natural Language Learning</v>
      </c>
      <c r="C130" s="2" t="str">
        <f>IFERROR(__xludf.DUMMYFUNCTION("""COMPUTED_VALUE"""),"Conferência sobre Aprendizado de Linguagem Natural")</f>
        <v>Conferência sobre Aprendizado de Linguagem Natural</v>
      </c>
    </row>
    <row r="131">
      <c r="A131" s="4" t="s">
        <v>61</v>
      </c>
      <c r="B131" s="2" t="str">
        <f>IFERROR(__xludf.DUMMYFUNCTION("""COMPUTED_VALUE"""),"International Conference on Information Systems and Technology Management")</f>
        <v>International Conference on Information Systems and Technology Management</v>
      </c>
      <c r="C131" s="2" t="str">
        <f>IFERROR(__xludf.DUMMYFUNCTION("""COMPUTED_VALUE"""),"Conferência Internacional sobre Gestão de Sistemas e Tecnologia da Informação")</f>
        <v>Conferência Internacional sobre Gestão de Sistemas e Tecnologia da Informação</v>
      </c>
    </row>
    <row r="132">
      <c r="A132" s="5"/>
      <c r="B132" s="2" t="str">
        <f>IFERROR(__xludf.DUMMYFUNCTION("""COMPUTED_VALUE"""),"International Conference on Cooperative Information Systems")</f>
        <v>International Conference on Cooperative Information Systems</v>
      </c>
      <c r="C132" s="2" t="str">
        <f>IFERROR(__xludf.DUMMYFUNCTION("""COMPUTED_VALUE"""),"Conferência Internacional sobre Sistemas de Informação Cooperativos")</f>
        <v>Conferência Internacional sobre Sistemas de Informação Cooperativos</v>
      </c>
    </row>
    <row r="133">
      <c r="A133" s="4" t="s">
        <v>62</v>
      </c>
      <c r="B133" s="2" t="str">
        <f>IFERROR(__xludf.DUMMYFUNCTION("""COMPUTED_VALUE"""),"Workshop of Urban Computing")</f>
        <v>Workshop of Urban Computing</v>
      </c>
      <c r="C133" s="2" t="str">
        <f>IFERROR(__xludf.DUMMYFUNCTION("""COMPUTED_VALUE"""),"Workshop de Computação Urbana")</f>
        <v>Workshop de Computação Urbana</v>
      </c>
    </row>
    <row r="134">
      <c r="A134" s="5"/>
      <c r="B134" s="2" t="str">
        <f>IFERROR(__xludf.DUMMYFUNCTION("""COMPUTED_VALUE"""),"International Conference on Integration of Constraint Programming, Artificial Intelligence, and Operations Research")</f>
        <v>International Conference on Integration of Constraint Programming, Artificial Intelligence, and Operations Research</v>
      </c>
      <c r="C134" s="2" t="str">
        <f>IFERROR(__xludf.DUMMYFUNCTION("""COMPUTED_VALUE"""),"Conferência Internacional sobre Integração de Programação por Restrições, Inteligência Artificial e Pesquisa Operacional")</f>
        <v>Conferência Internacional sobre Integração de Programação por Restrições, Inteligência Artificial e Pesquisa Operacional</v>
      </c>
    </row>
    <row r="135">
      <c r="A135" s="4" t="s">
        <v>63</v>
      </c>
      <c r="B135" s="2" t="str">
        <f>IFERROR(__xludf.DUMMYFUNCTION("""COMPUTED_VALUE"""),"Congresso sobre Tecnologias na Educação")</f>
        <v>Congresso sobre Tecnologias na Educação</v>
      </c>
      <c r="C135" s="2" t="str">
        <f>IFERROR(__xludf.DUMMYFUNCTION("""COMPUTED_VALUE"""),"Congress on Technologies in Education")</f>
        <v>Congress on Technologies in Education</v>
      </c>
    </row>
    <row r="136">
      <c r="A136" s="5"/>
      <c r="B136" s="2" t="str">
        <f>IFERROR(__xludf.DUMMYFUNCTION("""COMPUTED_VALUE"""),"ACM Conference on Computer Supported Cooperative Work &amp; Social Computing")</f>
        <v>ACM Conference on Computer Supported Cooperative Work &amp; Social Computing</v>
      </c>
      <c r="C136" s="2" t="str">
        <f>IFERROR(__xludf.DUMMYFUNCTION("""COMPUTED_VALUE"""),"Conferência ACM sobre Trabalho Cooperativo Suportado por Computador e Computação Social")</f>
        <v>Conferência ACM sobre Trabalho Cooperativo Suportado por Computador e Computação Social</v>
      </c>
    </row>
    <row r="137">
      <c r="A137" s="4" t="s">
        <v>64</v>
      </c>
      <c r="B137" s="2" t="str">
        <f>IFERROR(__xludf.DUMMYFUNCTION("""COMPUTED_VALUE"""),"IEEE International Conference on Computer Supported Cooperative Work in Design")</f>
        <v>IEEE International Conference on Computer Supported Cooperative Work in Design</v>
      </c>
      <c r="C137" s="2" t="str">
        <f>IFERROR(__xludf.DUMMYFUNCTION("""COMPUTED_VALUE"""),"Conferência Internacional IEEE sobre Trabalho Cooperativo Suportado por Computador em Design")</f>
        <v>Conferência Internacional IEEE sobre Trabalho Cooperativo Suportado por Computador em Design</v>
      </c>
    </row>
    <row r="138">
      <c r="A138" s="5"/>
      <c r="B138" s="2" t="str">
        <f>IFERROR(__xludf.DUMMYFUNCTION("""COMPUTED_VALUE"""),"International Conference on Computational Science and Engineering")</f>
        <v>International Conference on Computational Science and Engineering</v>
      </c>
      <c r="C138" s="2" t="str">
        <f>IFERROR(__xludf.DUMMYFUNCTION("""COMPUTED_VALUE"""),"Conferência Internacional sobre Ciência e Engenharia Computacional")</f>
        <v>Conferência Internacional sobre Ciência e Engenharia Computacional</v>
      </c>
    </row>
    <row r="139">
      <c r="A139" s="4" t="s">
        <v>65</v>
      </c>
      <c r="B139" s="2" t="str">
        <f>IFERROR(__xludf.DUMMYFUNCTION("""COMPUTED_VALUE"""),"International Conference on Computer Supported Education")</f>
        <v>International Conference on Computer Supported Education</v>
      </c>
      <c r="C139" s="2" t="str">
        <f>IFERROR(__xludf.DUMMYFUNCTION("""COMPUTED_VALUE"""),"Conferência Internacional sobre Educação Suportada por Computador")</f>
        <v>Conferência Internacional sobre Educação Suportada por Computador</v>
      </c>
    </row>
    <row r="140">
      <c r="A140" s="5"/>
      <c r="B140" s="2" t="str">
        <f>IFERROR(__xludf.DUMMYFUNCTION("""COMPUTED_VALUE"""),"IEEE Computer Security Foundations Symposium")</f>
        <v>IEEE Computer Security Foundations Symposium</v>
      </c>
      <c r="C140" s="2" t="str">
        <f>IFERROR(__xludf.DUMMYFUNCTION("""COMPUTED_VALUE"""),"Simpósio IEEE de Fundamentos de Segurança Computacional")</f>
        <v>Simpósio IEEE de Fundamentos de Segurança Computacional</v>
      </c>
    </row>
    <row r="141">
      <c r="A141" s="4" t="s">
        <v>66</v>
      </c>
      <c r="B141" s="2" t="str">
        <f>IFERROR(__xludf.DUMMYFUNCTION("""COMPUTED_VALUE"""),"Cyber Security in Networking Conference")</f>
        <v>Cyber Security in Networking Conference</v>
      </c>
      <c r="C141" s="2" t="str">
        <f>IFERROR(__xludf.DUMMYFUNCTION("""COMPUTED_VALUE"""),"Conferência de Cibersegurança em Redes")</f>
        <v>Conferência de Cibersegurança em Redes</v>
      </c>
    </row>
    <row r="142">
      <c r="A142" s="5"/>
      <c r="B142" s="2" t="str">
        <f>IFERROR(__xludf.DUMMYFUNCTION("""COMPUTED_VALUE"""),"IEEE International Conference on Cyber Security and Resilience")</f>
        <v>IEEE International Conference on Cyber Security and Resilience</v>
      </c>
      <c r="C142" s="2" t="str">
        <f>IFERROR(__xludf.DUMMYFUNCTION("""COMPUTED_VALUE"""),"Conferência Internacional IEEE sobre Cibersegurança e Resiliência")</f>
        <v>Conferência Internacional IEEE sobre Cibersegurança e Resiliência</v>
      </c>
    </row>
    <row r="143">
      <c r="A143" s="4" t="s">
        <v>67</v>
      </c>
      <c r="B143" s="2" t="str">
        <f>IFERROR(__xludf.DUMMYFUNCTION("""COMPUTED_VALUE"""),"IEEE Conference on Computer Vision and Pattern Recognition")</f>
        <v>IEEE Conference on Computer Vision and Pattern Recognition</v>
      </c>
      <c r="C143" s="2" t="str">
        <f>IFERROR(__xludf.DUMMYFUNCTION("""COMPUTED_VALUE"""),"Conferência IEEE sobre Visão Computacional e Reconhecimento de Padrões")</f>
        <v>Conferência IEEE sobre Visão Computacional e Reconhecimento de Padrões</v>
      </c>
    </row>
    <row r="144">
      <c r="A144" s="5"/>
      <c r="B144" s="2" t="str">
        <f>IFERROR(__xludf.DUMMYFUNCTION("""COMPUTED_VALUE"""),"IEEE Conference on Computer Vision and Pattern Recognition Companion")</f>
        <v>IEEE Conference on Computer Vision and Pattern Recognition Companion</v>
      </c>
      <c r="C144" s="2" t="str">
        <f>IFERROR(__xludf.DUMMYFUNCTION("""COMPUTED_VALUE"""),"Conferência IEEE sobre Visão Computacional e Reconhecimento de Padrões (Complementar)")</f>
        <v>Conferência IEEE sobre Visão Computacional e Reconhecimento de Padrões (Complementar)</v>
      </c>
    </row>
    <row r="145">
      <c r="A145" s="4" t="s">
        <v>68</v>
      </c>
      <c r="B145" s="2" t="str">
        <f>IFERROR(__xludf.DUMMYFUNCTION("""COMPUTED_VALUE"""),"Design Automation Conference")</f>
        <v>Design Automation Conference</v>
      </c>
      <c r="C145" s="2" t="str">
        <f>IFERROR(__xludf.DUMMYFUNCTION("""COMPUTED_VALUE"""),"Conferência de Automação de Design")</f>
        <v>Conferência de Automação de Design</v>
      </c>
    </row>
    <row r="146">
      <c r="A146" s="5"/>
      <c r="B146" s="2" t="str">
        <f>IFERROR(__xludf.DUMMYFUNCTION("""COMPUTED_VALUE"""),"International Symposium on Distributed Autonomous Robotic Systems")</f>
        <v>International Symposium on Distributed Autonomous Robotic Systems</v>
      </c>
      <c r="C146" s="2" t="str">
        <f>IFERROR(__xludf.DUMMYFUNCTION("""COMPUTED_VALUE"""),"Simpósio Internacional sobre Sistemas Robóticos Autônomos Distribuídos")</f>
        <v>Simpósio Internacional sobre Sistemas Robóticos Autônomos Distribuídos</v>
      </c>
    </row>
    <row r="147">
      <c r="A147" s="4" t="s">
        <v>69</v>
      </c>
      <c r="B147" s="2" t="str">
        <f>IFERROR(__xludf.DUMMYFUNCTION("""COMPUTED_VALUE"""),"International Conference on Database Systems for Advanced Applications")</f>
        <v>International Conference on Database Systems for Advanced Applications</v>
      </c>
      <c r="C147" s="2" t="str">
        <f>IFERROR(__xludf.DUMMYFUNCTION("""COMPUTED_VALUE"""),"Conferência Internacional sobre Sistemas de Banco de Dados para Aplicações Avançadas")</f>
        <v>Conferência Internacional sobre Sistemas de Banco de Dados para Aplicações Avançadas</v>
      </c>
    </row>
    <row r="148">
      <c r="A148" s="5"/>
      <c r="B148" s="2" t="str">
        <f>IFERROR(__xludf.DUMMYFUNCTION("""COMPUTED_VALUE"""),"International Conference on Data Science, Technology and Applications")</f>
        <v>International Conference on Data Science, Technology and Applications</v>
      </c>
      <c r="C148" s="2" t="str">
        <f>IFERROR(__xludf.DUMMYFUNCTION("""COMPUTED_VALUE"""),"Conferência Internacional sobre Ciência de Dados, Tecnologia e Aplicações")</f>
        <v>Conferência Internacional sobre Ciência de Dados, Tecnologia e Aplicações</v>
      </c>
    </row>
    <row r="149">
      <c r="A149" s="4" t="s">
        <v>70</v>
      </c>
      <c r="B149" s="2" t="str">
        <f>IFERROR(__xludf.DUMMYFUNCTION("""COMPUTED_VALUE"""),"Design, Automation and Test in Europe Conference and Exhibition")</f>
        <v>Design, Automation and Test in Europe Conference and Exhibition</v>
      </c>
      <c r="C149" s="2" t="str">
        <f>IFERROR(__xludf.DUMMYFUNCTION("""COMPUTED_VALUE"""),"Conferência e Exposição de Design, Automação e Teste na Europa")</f>
        <v>Conferência e Exposição de Design, Automação e Teste na Europa</v>
      </c>
    </row>
    <row r="150">
      <c r="A150" s="5"/>
      <c r="B150" s="2" t="str">
        <f>IFERROR(__xludf.DUMMYFUNCTION("""COMPUTED_VALUE"""),"International Conference on Big Data Analytics and Knowledge Discovery")</f>
        <v>International Conference on Big Data Analytics and Knowledge Discovery</v>
      </c>
      <c r="C150" s="2" t="str">
        <f>IFERROR(__xludf.DUMMYFUNCTION("""COMPUTED_VALUE"""),"Conferência Internacional sobre Análise de Big Data e Descoberta de Conhecimento")</f>
        <v>Conferência Internacional sobre Análise de Big Data e Descoberta de Conhecimento</v>
      </c>
    </row>
    <row r="151">
      <c r="A151" s="4" t="s">
        <v>71</v>
      </c>
      <c r="B151" s="2" t="str">
        <f>IFERROR(__xludf.DUMMYFUNCTION("""COMPUTED_VALUE"""),"IFIP WG 11.3 Conference on Data and Applications Security and Privacy")</f>
        <v>IFIP WG 11.3 Conference on Data and Applications Security and Privacy</v>
      </c>
      <c r="C151" s="2" t="str">
        <f>IFERROR(__xludf.DUMMYFUNCTION("""COMPUTED_VALUE"""),"Conferência IFIP WG 11.3 sobre Segurança e Privacidade de Dados e Aplicações")</f>
        <v>Conferência IFIP WG 11.3 sobre Segurança e Privacidade de Dados e Aplicações</v>
      </c>
    </row>
    <row r="152">
      <c r="A152" s="5"/>
      <c r="B152" s="2" t="str">
        <f>IFERROR(__xludf.DUMMYFUNCTION("""COMPUTED_VALUE"""),"International Conference on Distributed Computing in Sensor Systems")</f>
        <v>International Conference on Distributed Computing in Sensor Systems</v>
      </c>
      <c r="C152" s="2" t="str">
        <f>IFERROR(__xludf.DUMMYFUNCTION("""COMPUTED_VALUE"""),"Conferência Internacional sobre Computação Distribuída em Sistemas de Sensores")</f>
        <v>Conferência Internacional sobre Computação Distribuída em Sistemas de Sensores</v>
      </c>
    </row>
    <row r="153">
      <c r="A153" s="4" t="s">
        <v>72</v>
      </c>
      <c r="B153" s="2" t="str">
        <f>IFERROR(__xludf.DUMMYFUNCTION("""COMPUTED_VALUE"""),"International Conference on Database and Expert Systems Applications")</f>
        <v>International Conference on Database and Expert Systems Applications</v>
      </c>
      <c r="C153" s="2" t="str">
        <f>IFERROR(__xludf.DUMMYFUNCTION("""COMPUTED_VALUE"""),"Conferência Internacional sobre Bancos de Dados e Aplicações de Sistemas Especialistas")</f>
        <v>Conferência Internacional sobre Bancos de Dados e Aplicações de Sistemas Especialistas</v>
      </c>
    </row>
    <row r="154">
      <c r="A154" s="5"/>
      <c r="B154" s="2" t="str">
        <f>IFERROR(__xludf.DUMMYFUNCTION("""COMPUTED_VALUE"""),"IEEE International Symposium on Defect and Fault Tolerance in VLSI Systems")</f>
        <v>IEEE International Symposium on Defect and Fault Tolerance in VLSI Systems</v>
      </c>
      <c r="C154" s="2" t="str">
        <f>IFERROR(__xludf.DUMMYFUNCTION("""COMPUTED_VALUE"""),"Simpósio Internacional IEEE sobre Tolerância a Defeitos e Falhas em Sistemas VLSI")</f>
        <v>Simpósio Internacional IEEE sobre Tolerância a Defeitos e Falhas em Sistemas VLSI</v>
      </c>
    </row>
    <row r="155">
      <c r="A155" s="4" t="s">
        <v>73</v>
      </c>
      <c r="B155" s="2" t="str">
        <f>IFERROR(__xludf.DUMMYFUNCTION("""COMPUTED_VALUE"""),"Discrete Geometry and Mathematical Morphology")</f>
        <v>Discrete Geometry and Mathematical Morphology</v>
      </c>
      <c r="C155" s="2" t="str">
        <f>IFERROR(__xludf.DUMMYFUNCTION("""COMPUTED_VALUE"""),"Geometria Discreta e Morfologia Matemática")</f>
        <v>Geometria Discreta e Morfologia Matemática</v>
      </c>
    </row>
    <row r="156">
      <c r="A156" s="5"/>
      <c r="B156" s="2" t="str">
        <f>IFERROR(__xludf.DUMMYFUNCTION("""COMPUTED_VALUE"""),"Annual International Conference on Digital Government Research")</f>
        <v>Annual International Conference on Digital Government Research</v>
      </c>
      <c r="C156" s="2" t="str">
        <f>IFERROR(__xludf.DUMMYFUNCTION("""COMPUTED_VALUE"""),"Conferência Internacional Anual sobre Pesquisa em Governo Digital")</f>
        <v>Conferência Internacional Anual sobre Pesquisa em Governo Digital</v>
      </c>
    </row>
    <row r="157">
      <c r="A157" s="4" t="s">
        <v>74</v>
      </c>
      <c r="B157" s="2" t="str">
        <f>IFERROR(__xludf.DUMMYFUNCTION("""COMPUTED_VALUE"""),"International Workshop on Description Logics")</f>
        <v>International Workshop on Description Logics</v>
      </c>
      <c r="C157" s="2" t="str">
        <f>IFERROR(__xludf.DUMMYFUNCTION("""COMPUTED_VALUE"""),"Workshop Internacional sobre Lógicas de Descrição")</f>
        <v>Workshop Internacional sobre Lógicas de Descrição</v>
      </c>
    </row>
    <row r="158">
      <c r="A158" s="5"/>
      <c r="B158" s="2" t="str">
        <f>IFERROR(__xludf.DUMMYFUNCTION("""COMPUTED_VALUE"""),"International DMS Conference on Visualization and Visual Languages")</f>
        <v>International DMS Conference on Visualization and Visual Languages</v>
      </c>
      <c r="C158" s="2" t="str">
        <f>IFERROR(__xludf.DUMMYFUNCTION("""COMPUTED_VALUE"""),"Conferência Internacional DMS sobre Visualização e Linguagens Visuais")</f>
        <v>Conferência Internacional DMS sobre Visualização e Linguagens Visuais</v>
      </c>
    </row>
    <row r="159">
      <c r="A159" s="4" t="s">
        <v>75</v>
      </c>
      <c r="B159" s="2" t="str">
        <f>IFERROR(__xludf.DUMMYFUNCTION("""COMPUTED_VALUE"""),"ACM Symposium on Document Engineering")</f>
        <v>ACM Symposium on Document Engineering</v>
      </c>
      <c r="C159" s="2" t="str">
        <f>IFERROR(__xludf.DUMMYFUNCTION("""COMPUTED_VALUE"""),"Simpósio ACM sobre Engenharia de Documentos")</f>
        <v>Simpósio ACM sobre Engenharia de Documentos</v>
      </c>
    </row>
    <row r="160">
      <c r="A160" s="5"/>
      <c r="B160" s="2" t="str">
        <f>IFERROR(__xludf.DUMMYFUNCTION("""COMPUTED_VALUE"""),"International Conference on the Design of Reliable Communication Networks")</f>
        <v>International Conference on the Design of Reliable Communication Networks</v>
      </c>
      <c r="C160" s="2" t="str">
        <f>IFERROR(__xludf.DUMMYFUNCTION("""COMPUTED_VALUE"""),"Conferência Internacional sobre o Design de Redes de Comunicação Confiáveis")</f>
        <v>Conferência Internacional sobre o Design de Redes de Comunicação Confiáveis</v>
      </c>
    </row>
    <row r="161">
      <c r="A161" s="4" t="s">
        <v>76</v>
      </c>
      <c r="B161" s="2" t="str">
        <f>IFERROR(__xludf.DUMMYFUNCTION("""COMPUTED_VALUE"""),"IEEE/ACM International Symposium on Distributed Simulation and Real-Time Applications")</f>
        <v>IEEE/ACM International Symposium on Distributed Simulation and Real-Time Applications</v>
      </c>
      <c r="C161" s="2" t="str">
        <f>IFERROR(__xludf.DUMMYFUNCTION("""COMPUTED_VALUE"""),"Simpósio Internacional IEEE/ACM sobre Simulação Distribuída e Aplicações em Tempo Real")</f>
        <v>Simpósio Internacional IEEE/ACM sobre Simulação Distribuída e Aplicações em Tempo Real</v>
      </c>
    </row>
    <row r="162">
      <c r="A162" s="5"/>
      <c r="B162" s="2" t="str">
        <f>IFERROR(__xludf.DUMMYFUNCTION("""COMPUTED_VALUE"""),"IEEE International Conference on Data Science and Advanced Analytics")</f>
        <v>IEEE International Conference on Data Science and Advanced Analytics</v>
      </c>
      <c r="C162" s="2" t="str">
        <f>IFERROR(__xludf.DUMMYFUNCTION("""COMPUTED_VALUE"""),"Conferência Internacional IEEE sobre Ciência de Dados e Análise Avançada")</f>
        <v>Conferência Internacional IEEE sobre Ciência de Dados e Análise Avançada</v>
      </c>
    </row>
    <row r="163">
      <c r="A163" s="4" t="s">
        <v>77</v>
      </c>
      <c r="B163" s="2" t="str">
        <f>IFERROR(__xludf.DUMMYFUNCTION("""COMPUTED_VALUE"""),"International Conference on Software Development for Enhancing Accessibility and Fighting Info-exclusion")</f>
        <v>International Conference on Software Development for Enhancing Accessibility and Fighting Info-exclusion</v>
      </c>
      <c r="C163" s="2" t="str">
        <f>IFERROR(__xludf.DUMMYFUNCTION("""COMPUTED_VALUE"""),"Conferência Internacional sobre Desenvolvimento de Software para Melhorar a Acessibilidade e Combater a Info-exclusão")</f>
        <v>Conferência Internacional sobre Desenvolvimento de Software para Melhorar a Acessibilidade e Combater a Info-exclusão</v>
      </c>
    </row>
    <row r="164">
      <c r="A164" s="5"/>
      <c r="B164" s="2" t="str">
        <f>IFERROR(__xludf.DUMMYFUNCTION("""COMPUTED_VALUE"""),"Euromicro Conference on Digital System Design, Architectures, Methods and Tools")</f>
        <v>Euromicro Conference on Digital System Design, Architectures, Methods and Tools</v>
      </c>
      <c r="C164" s="2" t="str">
        <f>IFERROR(__xludf.DUMMYFUNCTION("""COMPUTED_VALUE"""),"Conferência Euromicro sobre Design de Sistemas Digitais, Arquiteturas, Métodos e Ferramentas")</f>
        <v>Conferência Euromicro sobre Design de Sistemas Digitais, Arquiteturas, Métodos e Ferramentas</v>
      </c>
    </row>
    <row r="165">
      <c r="A165" s="4" t="s">
        <v>78</v>
      </c>
      <c r="B165" s="2" t="str">
        <f>IFERROR(__xludf.DUMMYFUNCTION("""COMPUTED_VALUE"""),"Annual IEEE/IFIP International Conference on Dependable Systems and Networks")</f>
        <v>Annual IEEE/IFIP International Conference on Dependable Systems and Networks</v>
      </c>
      <c r="C165" s="2" t="str">
        <f>IFERROR(__xludf.DUMMYFUNCTION("""COMPUTED_VALUE"""),"Conferência Internacional Anual IEEE/IFIP sobre Sistemas e Redes Confiáveis")</f>
        <v>Conferência Internacional Anual IEEE/IFIP sobre Sistemas e Redes Confiáveis</v>
      </c>
    </row>
    <row r="166">
      <c r="A166" s="5"/>
      <c r="B166" s="2" t="str">
        <f>IFERROR(__xludf.DUMMYFUNCTION("""COMPUTED_VALUE"""),"Dataset Showcase Workshop")</f>
        <v>Dataset Showcase Workshop</v>
      </c>
      <c r="C166" s="2" t="str">
        <f>IFERROR(__xludf.DUMMYFUNCTION("""COMPUTED_VALUE"""),"Workshop de Exibição de Conjuntos de Dados")</f>
        <v>Workshop de Exibição de Conjuntos de Dados</v>
      </c>
    </row>
    <row r="167">
      <c r="A167" s="4" t="s">
        <v>79</v>
      </c>
      <c r="B167" s="2" t="str">
        <f>IFERROR(__xludf.DUMMYFUNCTION("""COMPUTED_VALUE"""),"International Conference on Engineering Applications and Advances of Artificial Intelligence")</f>
        <v>International Conference on Engineering Applications and Advances of Artificial Intelligence</v>
      </c>
      <c r="C167" s="2" t="str">
        <f>IFERROR(__xludf.DUMMYFUNCTION("""COMPUTED_VALUE"""),"Conferência Internacional sobre Aplicações de Engenharia e Avanços da Inteligência Artificial")</f>
        <v>Conferência Internacional sobre Aplicações de Engenharia e Avanços da Inteligência Artificial</v>
      </c>
    </row>
    <row r="168">
      <c r="A168" s="5"/>
      <c r="B168" s="2" t="str">
        <f>IFERROR(__xludf.DUMMYFUNCTION("""COMPUTED_VALUE"""),"Conference of the European Chapter of the Association for Computational Linguistics")</f>
        <v>Conference of the European Chapter of the Association for Computational Linguistics</v>
      </c>
      <c r="C168" s="2" t="str">
        <f>IFERROR(__xludf.DUMMYFUNCTION("""COMPUTED_VALUE"""),"Conferência do Capítulo Europeu da Associação de Linguística Computacional")</f>
        <v>Conferência do Capítulo Europeu da Associação de Linguística Computacional</v>
      </c>
    </row>
    <row r="169">
      <c r="A169" s="4" t="s">
        <v>80</v>
      </c>
      <c r="B169" s="2" t="str">
        <f>IFERROR(__xludf.DUMMYFUNCTION("""COMPUTED_VALUE"""),"IEEE International Conference on Evolving and Adaptive Intelligent Systems")</f>
        <v>IEEE International Conference on Evolving and Adaptive Intelligent Systems</v>
      </c>
      <c r="C169" s="2" t="str">
        <f>IFERROR(__xludf.DUMMYFUNCTION("""COMPUTED_VALUE"""),"Conferência Internacional IEEE sobre Sistemas Inteligentes Evolutivos e Adaptativos")</f>
        <v>Conferência Internacional IEEE sobre Sistemas Inteligentes Evolutivos e Adaptativos</v>
      </c>
    </row>
    <row r="170">
      <c r="A170" s="5"/>
      <c r="B170" s="2" t="str">
        <f>IFERROR(__xludf.DUMMYFUNCTION("""COMPUTED_VALUE"""),"International Conference on Evaluation and Assessment in Software Engineering")</f>
        <v>International Conference on Evaluation and Assessment in Software Engineering</v>
      </c>
      <c r="C170" s="2" t="str">
        <f>IFERROR(__xludf.DUMMYFUNCTION("""COMPUTED_VALUE"""),"Conferência Internacional sobre Avaliação e Estimativa em Engenharia de Software")</f>
        <v>Conferência Internacional sobre Avaliação e Estimativa em Engenharia de Software</v>
      </c>
    </row>
    <row r="171">
      <c r="A171" s="4" t="s">
        <v>81</v>
      </c>
      <c r="B171" s="2" t="str">
        <f>IFERROR(__xludf.DUMMYFUNCTION("""COMPUTED_VALUE"""),"Euro American Conference on Telematics and Information Systems")</f>
        <v>Euro American Conference on Telematics and Information Systems</v>
      </c>
      <c r="C171" s="2" t="str">
        <f>IFERROR(__xludf.DUMMYFUNCTION("""COMPUTED_VALUE"""),"Conferência Euro-Americana sobre Telemática e Sistemas de Informação")</f>
        <v>Conferência Euro-Americana sobre Telemática e Sistemas de Informação</v>
      </c>
    </row>
    <row r="172">
      <c r="A172" s="5"/>
      <c r="B172" s="2" t="str">
        <f>IFERROR(__xludf.DUMMYFUNCTION("""COMPUTED_VALUE"""),"European Conference on Technology Enhanced Learning")</f>
        <v>European Conference on Technology Enhanced Learning</v>
      </c>
      <c r="C172" s="2" t="str">
        <f>IFERROR(__xludf.DUMMYFUNCTION("""COMPUTED_VALUE"""),"Conferência Europeia sobre Aprendizagem Aprimorada por Tecnologia")</f>
        <v>Conferência Europeia sobre Aprendizagem Aprimorada por Tecnologia</v>
      </c>
    </row>
    <row r="173">
      <c r="A173" s="4" t="s">
        <v>82</v>
      </c>
      <c r="B173" s="2" t="str">
        <f>IFERROR(__xludf.DUMMYFUNCTION("""COMPUTED_VALUE"""),"European Conference on Artificial Intelligence")</f>
        <v>European Conference on Artificial Intelligence</v>
      </c>
      <c r="C173" s="2" t="str">
        <f>IFERROR(__xludf.DUMMYFUNCTION("""COMPUTED_VALUE"""),"Conferência Europeia sobre Inteligência Artificial")</f>
        <v>Conferência Europeia sobre Inteligência Artificial</v>
      </c>
    </row>
    <row r="174">
      <c r="A174" s="5"/>
      <c r="B174" s="2" t="str">
        <f>IFERROR(__xludf.DUMMYFUNCTION("""COMPUTED_VALUE"""),"European Control Conference")</f>
        <v>European Control Conference</v>
      </c>
      <c r="C174" s="2" t="str">
        <f>IFERROR(__xludf.DUMMYFUNCTION("""COMPUTED_VALUE"""),"Conferência Europeia de Controle")</f>
        <v>Conferência Europeia de Controle</v>
      </c>
    </row>
    <row r="175">
      <c r="A175" s="4" t="s">
        <v>83</v>
      </c>
      <c r="B175" s="2" t="str">
        <f>IFERROR(__xludf.DUMMYFUNCTION("""COMPUTED_VALUE"""),"European Conference on Computer Vision")</f>
        <v>European Conference on Computer Vision</v>
      </c>
      <c r="C175" s="2" t="str">
        <f>IFERROR(__xludf.DUMMYFUNCTION("""COMPUTED_VALUE"""),"Conferência Europeia sobre Visão Computacional")</f>
        <v>Conferência Europeia sobre Visão Computacional</v>
      </c>
    </row>
    <row r="176">
      <c r="A176" s="5"/>
      <c r="B176" s="2" t="str">
        <f>IFERROR(__xludf.DUMMYFUNCTION("""COMPUTED_VALUE"""),"European Conference on Information Systems")</f>
        <v>European Conference on Information Systems</v>
      </c>
      <c r="C176" s="2" t="str">
        <f>IFERROR(__xludf.DUMMYFUNCTION("""COMPUTED_VALUE"""),"Conferência Europeia sobre Sistemas de Informação")</f>
        <v>Conferência Europeia sobre Sistemas de Informação</v>
      </c>
    </row>
    <row r="177">
      <c r="A177" s="4" t="s">
        <v>84</v>
      </c>
      <c r="B177" s="2" t="str">
        <f>IFERROR(__xludf.DUMMYFUNCTION("""COMPUTED_VALUE"""),"European Conference on Machine Learning and Principles and Practice of Knowledge Discovery in Databases")</f>
        <v>European Conference on Machine Learning and Principles and Practice of Knowledge Discovery in Databases</v>
      </c>
      <c r="C177" s="2" t="str">
        <f>IFERROR(__xludf.DUMMYFUNCTION("""COMPUTED_VALUE"""),"Conferência Europeia sobre Aprendizado de Máquina e Princípios e Prática de Descoberta de Conhecimento em Bancos de Dados")</f>
        <v>Conferência Europeia sobre Aprendizado de Máquina e Princípios e Prática de Descoberta de Conhecimento em Bancos de Dados</v>
      </c>
    </row>
    <row r="178">
      <c r="A178" s="5"/>
      <c r="B178" s="2" t="str">
        <f>IFERROR(__xludf.DUMMYFUNCTION("""COMPUTED_VALUE"""),"European Conference on Mobile Robots")</f>
        <v>European Conference on Mobile Robots</v>
      </c>
      <c r="C178" s="2" t="str">
        <f>IFERROR(__xludf.DUMMYFUNCTION("""COMPUTED_VALUE"""),"Conferência Europeia sobre Robôs Móveis")</f>
        <v>Conferência Europeia sobre Robôs Móveis</v>
      </c>
    </row>
    <row r="179">
      <c r="A179" s="4" t="s">
        <v>85</v>
      </c>
      <c r="B179" s="2" t="str">
        <f>IFERROR(__xludf.DUMMYFUNCTION("""COMPUTED_VALUE"""),"European Conference on Object-Oriented Programming")</f>
        <v>European Conference on Object-Oriented Programming</v>
      </c>
      <c r="C179" s="2" t="str">
        <f>IFERROR(__xludf.DUMMYFUNCTION("""COMPUTED_VALUE"""),"Conferência Europeia sobre Programação Orientada a Objetos")</f>
        <v>Conferência Europeia sobre Programação Orientada a Objetos</v>
      </c>
    </row>
    <row r="180">
      <c r="A180" s="5"/>
      <c r="B180" s="2" t="str">
        <f>IFERROR(__xludf.DUMMYFUNCTION("""COMPUTED_VALUE"""),"European Conference on Software Architecture")</f>
        <v>European Conference on Software Architecture</v>
      </c>
      <c r="C180" s="2" t="str">
        <f>IFERROR(__xludf.DUMMYFUNCTION("""COMPUTED_VALUE"""),"Conferência Europeia sobre Arquitetura de Software")</f>
        <v>Conferência Europeia sobre Arquitetura de Software</v>
      </c>
    </row>
    <row r="181">
      <c r="A181" s="4" t="s">
        <v>86</v>
      </c>
      <c r="B181" s="2" t="str">
        <f>IFERROR(__xludf.DUMMYFUNCTION("""COMPUTED_VALUE"""),"European Conference on Computer Supported Cooperative Work")</f>
        <v>European Conference on Computer Supported Cooperative Work</v>
      </c>
      <c r="C181" s="2" t="str">
        <f>IFERROR(__xludf.DUMMYFUNCTION("""COMPUTED_VALUE"""),"Conferência Europeia sobre Trabalho Cooperativo Suportado por Computador")</f>
        <v>Conferência Europeia sobre Trabalho Cooperativo Suportado por Computador</v>
      </c>
    </row>
    <row r="182">
      <c r="A182" s="5"/>
      <c r="B182" s="2" t="str">
        <f>IFERROR(__xludf.DUMMYFUNCTION("""COMPUTED_VALUE"""),"European Conference on Symbolic and Quantitative Approaches to Reasoning and Uncertainty")</f>
        <v>European Conference on Symbolic and Quantitative Approaches to Reasoning and Uncertainty</v>
      </c>
      <c r="C182" s="2" t="str">
        <f>IFERROR(__xludf.DUMMYFUNCTION("""COMPUTED_VALUE"""),"Conferência Europeia sobre Abordagens Simbólicas e Quantitativas para Raciocínio e Incerteza")</f>
        <v>Conferência Europeia sobre Abordagens Simbólicas e Quantitativas para Raciocínio e Incerteza</v>
      </c>
    </row>
    <row r="183">
      <c r="A183" s="4" t="s">
        <v>87</v>
      </c>
      <c r="B183" s="2" t="str">
        <f>IFERROR(__xludf.DUMMYFUNCTION("""COMPUTED_VALUE"""),"International Conference on Extending Database Technology")</f>
        <v>International Conference on Extending Database Technology</v>
      </c>
      <c r="C183" s="2" t="str">
        <f>IFERROR(__xludf.DUMMYFUNCTION("""COMPUTED_VALUE"""),"Conferência Internacional sobre Extensão da Tecnologia de Banco de Dados")</f>
        <v>Conferência Internacional sobre Extensão da Tecnologia de Banco de Dados</v>
      </c>
    </row>
    <row r="184">
      <c r="A184" s="5"/>
      <c r="B184" s="2" t="str">
        <f>IFERROR(__xludf.DUMMYFUNCTION("""COMPUTED_VALUE"""),"European Dependable Computing Conference")</f>
        <v>European Dependable Computing Conference</v>
      </c>
      <c r="C184" s="2" t="str">
        <f>IFERROR(__xludf.DUMMYFUNCTION("""COMPUTED_VALUE"""),"Conferência Europeia de Computação Confiável")</f>
        <v>Conferência Europeia de Computação Confiável</v>
      </c>
    </row>
    <row r="185">
      <c r="A185" s="4" t="s">
        <v>88</v>
      </c>
      <c r="B185" s="2" t="str">
        <f>IFERROR(__xludf.DUMMYFUNCTION("""COMPUTED_VALUE"""),"EEE International Conference on Edge Computing and Communications")</f>
        <v>EEE International Conference on Edge Computing and Communications</v>
      </c>
      <c r="C185" s="2" t="str">
        <f>IFERROR(__xludf.DUMMYFUNCTION("""COMPUTED_VALUE"""),"Conferência Internacional IEEE sobre Computação de Borda e Comunicações")</f>
        <v>Conferência Internacional IEEE sobre Computação de Borda e Comunicações</v>
      </c>
    </row>
    <row r="186">
      <c r="A186" s="5"/>
      <c r="B186" s="2" t="str">
        <f>IFERROR(__xludf.DUMMYFUNCTION("""COMPUTED_VALUE"""),"International Conference on Educational Data Mining")</f>
        <v>International Conference on Educational Data Mining</v>
      </c>
      <c r="C186" s="2" t="str">
        <f>IFERROR(__xludf.DUMMYFUNCTION("""COMPUTED_VALUE"""),"Conferência Internacional sobre Mineração de Dados Educacionais")</f>
        <v>Conferência Internacional sobre Mineração de Dados Educacionais</v>
      </c>
    </row>
    <row r="187">
      <c r="A187" s="4" t="s">
        <v>89</v>
      </c>
      <c r="B187" s="2" t="str">
        <f>IFERROR(__xludf.DUMMYFUNCTION("""COMPUTED_VALUE"""),"IEEE International Enterprise Distributed Object Computing Conference")</f>
        <v>IEEE International Enterprise Distributed Object Computing Conference</v>
      </c>
      <c r="C187" s="2" t="str">
        <f>IFERROR(__xludf.DUMMYFUNCTION("""COMPUTED_VALUE"""),"Conferência Internacional IEEE sobre Computação de Objetos Distribuídos Empresariais")</f>
        <v>Conferência Internacional IEEE sobre Computação de Objetos Distribuídos Empresariais</v>
      </c>
    </row>
    <row r="188">
      <c r="A188" s="5"/>
      <c r="B188" s="2" t="str">
        <f>IFERROR(__xludf.DUMMYFUNCTION("""COMPUTED_VALUE"""),"Simpósio Brasileiro de Educação em Computação")</f>
        <v>Simpósio Brasileiro de Educação em Computação</v>
      </c>
      <c r="C188" s="2" t="str">
        <f>IFERROR(__xludf.DUMMYFUNCTION("""COMPUTED_VALUE"""),"Brazilian Symposium on Computing Education")</f>
        <v>Brazilian Symposium on Computing Education</v>
      </c>
    </row>
    <row r="189">
      <c r="A189" s="4" t="s">
        <v>90</v>
      </c>
      <c r="B189" s="2" t="str">
        <f>IFERROR(__xludf.DUMMYFUNCTION("""COMPUTED_VALUE"""),"IEEE Global Engineering Education Conference")</f>
        <v>IEEE Global Engineering Education Conference</v>
      </c>
      <c r="C189" s="2" t="str">
        <f>IFERROR(__xludf.DUMMYFUNCTION("""COMPUTED_VALUE"""),"Conferência IEEE de Educação em Engenharia Global")</f>
        <v>Conferência IEEE de Educação em Engenharia Global</v>
      </c>
    </row>
    <row r="190">
      <c r="A190" s="5"/>
      <c r="B190" s="2" t="str">
        <f>IFERROR(__xludf.DUMMYFUNCTION("""COMPUTED_VALUE"""),"International Conference on Education and New Learning Technologies")</f>
        <v>International Conference on Education and New Learning Technologies</v>
      </c>
      <c r="C190" s="2" t="str">
        <f>IFERROR(__xludf.DUMMYFUNCTION("""COMPUTED_VALUE"""),"Conferência Internacional sobre Educação e Novas Tecnologias de Aprendizagem")</f>
        <v>Conferência Internacional sobre Educação e Novas Tecnologias de Aprendizagem</v>
      </c>
    </row>
    <row r="191">
      <c r="A191" s="4" t="s">
        <v>91</v>
      </c>
      <c r="B191" s="2" t="str">
        <f>IFERROR(__xludf.DUMMYFUNCTION("""COMPUTED_VALUE"""),"International Conference on Electronic Government")</f>
        <v>International Conference on Electronic Government</v>
      </c>
      <c r="C191" s="2" t="str">
        <f>IFERROR(__xludf.DUMMYFUNCTION("""COMPUTED_VALUE"""),"Conferência Internacional sobre Governo Eletrônico")</f>
        <v>Conferência Internacional sobre Governo Eletrônico</v>
      </c>
    </row>
    <row r="192">
      <c r="A192" s="5"/>
      <c r="B192" s="2" t="str">
        <f>IFERROR(__xludf.DUMMYFUNCTION("""COMPUTED_VALUE"""),"International Conference on Electronic Government and the Information Systems Perspective")</f>
        <v>International Conference on Electronic Government and the Information Systems Perspective</v>
      </c>
      <c r="C192" s="2" t="str">
        <f>IFERROR(__xludf.DUMMYFUNCTION("""COMPUTED_VALUE"""),"Conferência Internacional sobre Governo Eletrônico e a Perspectiva de Sistemas de Informação")</f>
        <v>Conferência Internacional sobre Governo Eletrônico e a Perspectiva de Sistemas de Informação</v>
      </c>
    </row>
    <row r="193">
      <c r="A193" s="4" t="s">
        <v>92</v>
      </c>
      <c r="B193" s="2" t="str">
        <f>IFERROR(__xludf.DUMMYFUNCTION("""COMPUTED_VALUE"""),"International Workshop on Engineering Multiagent Systems")</f>
        <v>International Workshop on Engineering Multiagent Systems</v>
      </c>
      <c r="C193" s="2" t="str">
        <f>IFERROR(__xludf.DUMMYFUNCTION("""COMPUTED_VALUE"""),"Workshop Internacional sobre Engenharia de Sistemas Multiagentes")</f>
        <v>Workshop Internacional sobre Engenharia de Sistemas Multiagentes</v>
      </c>
    </row>
    <row r="194">
      <c r="A194" s="5"/>
      <c r="B194" s="2" t="str">
        <f>IFERROR(__xludf.DUMMYFUNCTION("""COMPUTED_VALUE"""),"Annual International Conference of the IEEE Engineering in Medicine and Biology Society")</f>
        <v>Annual International Conference of the IEEE Engineering in Medicine and Biology Society</v>
      </c>
      <c r="C194" s="2" t="str">
        <f>IFERROR(__xludf.DUMMYFUNCTION("""COMPUTED_VALUE"""),"Conferência Internacional Anual da Sociedade de Engenharia em Medicina e Biologia IEEE")</f>
        <v>Conferência Internacional Anual da Sociedade de Engenharia em Medicina e Biologia IEEE</v>
      </c>
    </row>
    <row r="195">
      <c r="A195" s="4" t="s">
        <v>93</v>
      </c>
      <c r="B195" s="2" t="str">
        <f>IFERROR(__xludf.DUMMYFUNCTION("""COMPUTED_VALUE"""),"IEEE-EMBS International Conference on Biomedical and Health Informatics")</f>
        <v>IEEE-EMBS International Conference on Biomedical and Health Informatics</v>
      </c>
      <c r="C195" s="2" t="str">
        <f>IFERROR(__xludf.DUMMYFUNCTION("""COMPUTED_VALUE"""),"Conferência Internacional IEEE-EMBS sobre Informática Biomédica e em Saúde")</f>
        <v>Conferência Internacional IEEE-EMBS sobre Informática Biomédica e em Saúde</v>
      </c>
    </row>
    <row r="196">
      <c r="A196" s="5"/>
      <c r="B196" s="2" t="str">
        <f>IFERROR(__xludf.DUMMYFUNCTION("""COMPUTED_VALUE"""),"International Conference on Evolutionary Multi-Criterion Optimization")</f>
        <v>International Conference on Evolutionary Multi-Criterion Optimization</v>
      </c>
      <c r="C196" s="2" t="str">
        <f>IFERROR(__xludf.DUMMYFUNCTION("""COMPUTED_VALUE"""),"Conferência Internacional sobre Otimização Evolutiva Multicritério")</f>
        <v>Conferência Internacional sobre Otimização Evolutiva Multicritério</v>
      </c>
    </row>
    <row r="197">
      <c r="A197" s="4" t="s">
        <v>94</v>
      </c>
      <c r="B197" s="2" t="str">
        <f>IFERROR(__xludf.DUMMYFUNCTION("""COMPUTED_VALUE"""),"Encontro Nacional da Associação Nacional de Pós-Graduação e Pesquisa em Administração")</f>
        <v>Encontro Nacional da Associação Nacional de Pós-Graduação e Pesquisa em Administração</v>
      </c>
      <c r="C197" s="2" t="str">
        <f>IFERROR(__xludf.DUMMYFUNCTION("""COMPUTED_VALUE"""),"National Meeting of the National Association of Graduate Studies and Research in Administration")</f>
        <v>National Meeting of the National Association of Graduate Studies and Research in Administration</v>
      </c>
    </row>
    <row r="198">
      <c r="A198" s="5"/>
      <c r="B198" s="2" t="str">
        <f>IFERROR(__xludf.DUMMYFUNCTION("""COMPUTED_VALUE"""),"International Conference on Evaluation of Novel Approaches to Software Engineering")</f>
        <v>International Conference on Evaluation of Novel Approaches to Software Engineering</v>
      </c>
      <c r="C198" s="2" t="str">
        <f>IFERROR(__xludf.DUMMYFUNCTION("""COMPUTED_VALUE"""),"Conferência Internacional sobre Avaliação de Novas Abordagens em Engenharia de Software")</f>
        <v>Conferência Internacional sobre Avaliação de Novas Abordagens em Engenharia de Software</v>
      </c>
    </row>
    <row r="199">
      <c r="A199" s="4" t="s">
        <v>95</v>
      </c>
      <c r="B199" s="2" t="str">
        <f>IFERROR(__xludf.DUMMYFUNCTION("""COMPUTED_VALUE"""),"Encontro Nacional de Inteligencia Artificial e Computacional")</f>
        <v>Encontro Nacional de Inteligencia Artificial e Computacional</v>
      </c>
      <c r="C199" s="2" t="str">
        <f>IFERROR(__xludf.DUMMYFUNCTION("""COMPUTED_VALUE"""),"National Meeting on Artificial and Computational Intelligence")</f>
        <v>National Meeting on Artificial and Computational Intelligence</v>
      </c>
    </row>
    <row r="200">
      <c r="A200" s="5"/>
      <c r="B200" s="2" t="str">
        <f>IFERROR(__xludf.DUMMYFUNCTION("""COMPUTED_VALUE"""),"Portuguese Conference on Artificial Intelligence")</f>
        <v>Portuguese Conference on Artificial Intelligence</v>
      </c>
      <c r="C200" s="2" t="str">
        <f>IFERROR(__xludf.DUMMYFUNCTION("""COMPUTED_VALUE"""),"Conferência Portuguesa sobre Inteligência Artificial")</f>
        <v>Conferência Portuguesa sobre Inteligência Artificial</v>
      </c>
    </row>
    <row r="201">
      <c r="A201" s="4" t="s">
        <v>96</v>
      </c>
      <c r="B201" s="2" t="str">
        <f>IFERROR(__xludf.DUMMYFUNCTION("""COMPUTED_VALUE"""),"International Conference on Conceptual Modeling")</f>
        <v>International Conference on Conceptual Modeling</v>
      </c>
      <c r="C201" s="2" t="str">
        <f>IFERROR(__xludf.DUMMYFUNCTION("""COMPUTED_VALUE"""),"Conferência Internacional sobre Modelagem Conceitual")</f>
        <v>Conferência Internacional sobre Modelagem Conceitual</v>
      </c>
    </row>
    <row r="202">
      <c r="A202" s="5"/>
      <c r="B202" s="2" t="str">
        <f>IFERROR(__xludf.DUMMYFUNCTION("""COMPUTED_VALUE"""),"European Symposium on Algorithms")</f>
        <v>European Symposium on Algorithms</v>
      </c>
      <c r="C202" s="2" t="str">
        <f>IFERROR(__xludf.DUMMYFUNCTION("""COMPUTED_VALUE"""),"Simpósio Europeu sobre Algoritmos")</f>
        <v>Simpósio Europeu sobre Algoritmos</v>
      </c>
    </row>
    <row r="203">
      <c r="A203" s="4" t="s">
        <v>97</v>
      </c>
      <c r="B203" s="2" t="str">
        <f>IFERROR(__xludf.DUMMYFUNCTION("""COMPUTED_VALUE"""),"European Symposium on Artificial Neural Networks, Computational Intelligence and Machine Learning")</f>
        <v>European Symposium on Artificial Neural Networks, Computational Intelligence and Machine Learning</v>
      </c>
      <c r="C203" s="2" t="str">
        <f>IFERROR(__xludf.DUMMYFUNCTION("""COMPUTED_VALUE"""),"Simpósio Europeu sobre Redes Neurais Artificiais, Inteligência Computacional e Aprendizado de Máquina")</f>
        <v>Simpósio Europeu sobre Redes Neurais Artificiais, Inteligência Computacional e Aprendizado de Máquina</v>
      </c>
    </row>
    <row r="204">
      <c r="A204" s="5"/>
      <c r="B204" s="2" t="str">
        <f>IFERROR(__xludf.DUMMYFUNCTION("""COMPUTED_VALUE"""),"IEEE International Conference on e-Science")</f>
        <v>IEEE International Conference on e-Science</v>
      </c>
      <c r="C204" s="2" t="str">
        <f>IFERROR(__xludf.DUMMYFUNCTION("""COMPUTED_VALUE"""),"Conferência Internacional IEEE sobre e-Ciência")</f>
        <v>Conferência Internacional IEEE sobre e-Ciência</v>
      </c>
    </row>
    <row r="205">
      <c r="A205" s="4" t="s">
        <v>98</v>
      </c>
      <c r="B205" s="2" t="str">
        <f>IFERROR(__xludf.DUMMYFUNCTION("""COMPUTED_VALUE"""),"ACM/IEEE International Symposium on Empirical Software Engineering and Measurement")</f>
        <v>ACM/IEEE International Symposium on Empirical Software Engineering and Measurement</v>
      </c>
      <c r="C205" s="2" t="str">
        <f>IFERROR(__xludf.DUMMYFUNCTION("""COMPUTED_VALUE"""),"Simpósio Internacional ACM/IEEE sobre Engenharia de Software Empírica e Medição")</f>
        <v>Simpósio Internacional ACM/IEEE sobre Engenharia de Software Empírica e Medição</v>
      </c>
    </row>
    <row r="206">
      <c r="A206" s="5"/>
      <c r="B206" s="2" t="str">
        <f>IFERROR(__xludf.DUMMYFUNCTION("""COMPUTED_VALUE"""),"International Conference on Emerging Smart Technologies and Applications")</f>
        <v>International Conference on Emerging Smart Technologies and Applications</v>
      </c>
      <c r="C206" s="2" t="str">
        <f>IFERROR(__xludf.DUMMYFUNCTION("""COMPUTED_VALUE"""),"Conferência Internacional sobre Tecnologias Inteligentes Emergentes e Aplicações")</f>
        <v>Conferência Internacional sobre Tecnologias Inteligentes Emergentes e Aplicações</v>
      </c>
    </row>
    <row r="207">
      <c r="A207" s="4" t="s">
        <v>99</v>
      </c>
      <c r="B207" s="2" t="str">
        <f>IFERROR(__xludf.DUMMYFUNCTION("""COMPUTED_VALUE"""),"Encontro de Teoria da Computação")</f>
        <v>Encontro de Teoria da Computação</v>
      </c>
      <c r="C207" s="2" t="str">
        <f>IFERROR(__xludf.DUMMYFUNCTION("""COMPUTED_VALUE"""),"Meeting on Theory of Computation")</f>
        <v>Meeting on Theory of Computation</v>
      </c>
    </row>
    <row r="208">
      <c r="A208" s="5"/>
      <c r="B208" s="2" t="str">
        <f>IFERROR(__xludf.DUMMYFUNCTION("""COMPUTED_VALUE"""),"IEEE International Conference on Emerging Technologies and Factory Automation")</f>
        <v>IEEE International Conference on Emerging Technologies and Factory Automation</v>
      </c>
      <c r="C208" s="2" t="str">
        <f>IFERROR(__xludf.DUMMYFUNCTION("""COMPUTED_VALUE"""),"Conferência Internacional IEEE sobre Tecnologias Emergentes e Automação de Fábrica")</f>
        <v>Conferência Internacional IEEE sobre Tecnologias Emergentes e Automação de Fábrica</v>
      </c>
    </row>
    <row r="209">
      <c r="A209" s="4" t="s">
        <v>100</v>
      </c>
      <c r="B209" s="2" t="str">
        <f>IFERROR(__xludf.DUMMYFUNCTION("""COMPUTED_VALUE"""),"IEEE European Test Symposium")</f>
        <v>IEEE European Test Symposium</v>
      </c>
      <c r="C209" s="2" t="str">
        <f>IFERROR(__xludf.DUMMYFUNCTION("""COMPUTED_VALUE"""),"Simpósio Europeu de Testes IEEE")</f>
        <v>Simpósio Europeu de Testes IEEE</v>
      </c>
    </row>
    <row r="210">
      <c r="A210" s="5"/>
      <c r="B210" s="2" t="str">
        <f>IFERROR(__xludf.DUMMYFUNCTION("""COMPUTED_VALUE"""),"European Conference on Networks and Communications")</f>
        <v>European Conference on Networks and Communications</v>
      </c>
      <c r="C210" s="2" t="str">
        <f>IFERROR(__xludf.DUMMYFUNCTION("""COMPUTED_VALUE"""),"Conferência Europeia sobre Redes e Comunicações")</f>
        <v>Conferência Europeia sobre Redes e Comunicações</v>
      </c>
    </row>
    <row r="211">
      <c r="A211" s="4" t="s">
        <v>101</v>
      </c>
      <c r="B211" s="2" t="str">
        <f>IFERROR(__xludf.DUMMYFUNCTION("""COMPUTED_VALUE"""),"European Conference on Operational Research")</f>
        <v>European Conference on Operational Research</v>
      </c>
      <c r="C211" s="2" t="str">
        <f>IFERROR(__xludf.DUMMYFUNCTION("""COMPUTED_VALUE"""),"Conferência Europeia de Pesquisa Operacional")</f>
        <v>Conferência Europeia de Pesquisa Operacional</v>
      </c>
    </row>
    <row r="212">
      <c r="A212" s="5"/>
      <c r="B212" s="2" t="str">
        <f>IFERROR(__xludf.DUMMYFUNCTION("""COMPUTED_VALUE"""),"European Conference on Combinatorics, Graph Theory and Applications")</f>
        <v>European Conference on Combinatorics, Graph Theory and Applications</v>
      </c>
      <c r="C212" s="2" t="str">
        <f>IFERROR(__xludf.DUMMYFUNCTION("""COMPUTED_VALUE"""),"Conferência Europeia sobre Combinatória, Teoria dos Grafos e Aplicações")</f>
        <v>Conferência Europeia sobre Combinatória, Teoria dos Grafos e Aplicações</v>
      </c>
    </row>
    <row r="213">
      <c r="A213" s="4" t="s">
        <v>102</v>
      </c>
      <c r="B213" s="2" t="str">
        <f>IFERROR(__xludf.DUMMYFUNCTION("""COMPUTED_VALUE"""),"European Conference on Parallel Computing")</f>
        <v>European Conference on Parallel Computing</v>
      </c>
      <c r="C213" s="2" t="str">
        <f>IFERROR(__xludf.DUMMYFUNCTION("""COMPUTED_VALUE"""),"Conferência Europeia sobre Computação Paralela")</f>
        <v>Conferência Europeia sobre Computação Paralela</v>
      </c>
    </row>
    <row r="214">
      <c r="A214" s="5"/>
      <c r="B214" s="2" t="str">
        <f>IFERROR(__xludf.DUMMYFUNCTION("""COMPUTED_VALUE"""),"European Conference on Pattern Languages of Programs")</f>
        <v>European Conference on Pattern Languages of Programs</v>
      </c>
      <c r="C214" s="2" t="str">
        <f>IFERROR(__xludf.DUMMYFUNCTION("""COMPUTED_VALUE"""),"Conferência Europeia sobre Linguagens de Padrões de Programas")</f>
        <v>Conferência Europeia sobre Linguagens de Padrões de Programas</v>
      </c>
    </row>
    <row r="215">
      <c r="A215" s="4" t="s">
        <v>103</v>
      </c>
      <c r="B215" s="2" t="str">
        <f>IFERROR(__xludf.DUMMYFUNCTION("""COMPUTED_VALUE"""),"European Conference on Software Process Improvement")</f>
        <v>European Conference on Software Process Improvement</v>
      </c>
      <c r="C215" s="2" t="str">
        <f>IFERROR(__xludf.DUMMYFUNCTION("""COMPUTED_VALUE"""),"Conferência Europeia sobre Melhoria de Processo de Software")</f>
        <v>Conferência Europeia sobre Melhoria de Processo de Software</v>
      </c>
    </row>
    <row r="216">
      <c r="A216" s="5"/>
      <c r="B216" s="2" t="str">
        <f>IFERROR(__xludf.DUMMYFUNCTION("""COMPUTED_VALUE"""),"European Conference on Computer Systems")</f>
        <v>European Conference on Computer Systems</v>
      </c>
      <c r="C216" s="2" t="str">
        <f>IFERROR(__xludf.DUMMYFUNCTION("""COMPUTED_VALUE"""),"Conferência Europeia sobre Sistemas Computacionais")</f>
        <v>Conferência Europeia sobre Sistemas Computacionais</v>
      </c>
    </row>
    <row r="217">
      <c r="A217" s="4" t="s">
        <v>104</v>
      </c>
      <c r="B217" s="2" t="str">
        <f>IFERROR(__xludf.DUMMYFUNCTION("""COMPUTED_VALUE"""),"Conference of the European Society for Fuzzy Logic and Technology")</f>
        <v>Conference of the European Society for Fuzzy Logic and Technology</v>
      </c>
      <c r="C217" s="2" t="str">
        <f>IFERROR(__xludf.DUMMYFUNCTION("""COMPUTED_VALUE"""),"Conferência da Sociedade Europeia de Lógica Fuzzy e Tecnologia")</f>
        <v>Conferência da Sociedade Europeia de Lógica Fuzzy e Tecnologia</v>
      </c>
    </row>
    <row r="218">
      <c r="A218" s="5"/>
      <c r="B218" s="2" t="str">
        <f>IFERROR(__xludf.DUMMYFUNCTION("""COMPUTED_VALUE"""),"European Signal Processing Conference")</f>
        <v>European Signal Processing Conference</v>
      </c>
      <c r="C218" s="2" t="str">
        <f>IFERROR(__xludf.DUMMYFUNCTION("""COMPUTED_VALUE"""),"Conferência Europeia de Processamento de Sinais")</f>
        <v>Conferência Europeia de Processamento de Sinais</v>
      </c>
    </row>
    <row r="219">
      <c r="A219" s="4" t="s">
        <v>105</v>
      </c>
      <c r="B219" s="2" t="str">
        <f>IFERROR(__xludf.DUMMYFUNCTION("""COMPUTED_VALUE"""),"European Workshop on Visual Information Processing")</f>
        <v>European Workshop on Visual Information Processing</v>
      </c>
      <c r="C219" s="2" t="str">
        <f>IFERROR(__xludf.DUMMYFUNCTION("""COMPUTED_VALUE"""),"Workshop Europeu sobre Processamento de Informação Visual")</f>
        <v>Workshop Europeu sobre Processamento de Informação Visual</v>
      </c>
    </row>
    <row r="220">
      <c r="A220" s="5"/>
      <c r="B220" s="2" t="str">
        <f>IFERROR(__xludf.DUMMYFUNCTION("""COMPUTED_VALUE"""),"European Conference on the Applications of Evolutionary Computation")</f>
        <v>European Conference on the Applications of Evolutionary Computation</v>
      </c>
      <c r="C220" s="2" t="str">
        <f>IFERROR(__xludf.DUMMYFUNCTION("""COMPUTED_VALUE"""),"Conferência Europeia sobre Aplicações de Computação Evolutiva")</f>
        <v>Conferência Europeia sobre Aplicações de Computação Evolutiva</v>
      </c>
    </row>
    <row r="221">
      <c r="A221" s="4" t="s">
        <v>106</v>
      </c>
      <c r="B221" s="2" t="str">
        <f>IFERROR(__xludf.DUMMYFUNCTION("""COMPUTED_VALUE"""),"European Conference on Evolutionary Computation in Combinatorial Optimization")</f>
        <v>European Conference on Evolutionary Computation in Combinatorial Optimization</v>
      </c>
      <c r="C221" s="2" t="str">
        <f>IFERROR(__xludf.DUMMYFUNCTION("""COMPUTED_VALUE"""),"Conferência Europeia sobre Computação Evolutiva em Otimização Combinatória")</f>
        <v>Conferência Europeia sobre Computação Evolutiva em Otimização Combinatória</v>
      </c>
    </row>
    <row r="222">
      <c r="A222" s="5"/>
      <c r="B222" s="2" t="str">
        <f>IFERROR(__xludf.DUMMYFUNCTION("""COMPUTED_VALUE"""),"ACM Conference on Fairness, Accountability, and Transparency")</f>
        <v>ACM Conference on Fairness, Accountability, and Transparency</v>
      </c>
      <c r="C222" s="2" t="str">
        <f>IFERROR(__xludf.DUMMYFUNCTION("""COMPUTED_VALUE"""),"Conferência ACM sobre Justiça, Responsabilidade e Transparência")</f>
        <v>Conferência ACM sobre Justiça, Responsabilidade e Transparência</v>
      </c>
    </row>
    <row r="223">
      <c r="A223" s="4" t="s">
        <v>107</v>
      </c>
      <c r="B223" s="2" t="str">
        <f>IFERROR(__xludf.DUMMYFUNCTION("""COMPUTED_VALUE"""),"International Conference on Formal Aspects of Component Software")</f>
        <v>International Conference on Formal Aspects of Component Software</v>
      </c>
      <c r="C223" s="2" t="str">
        <f>IFERROR(__xludf.DUMMYFUNCTION("""COMPUTED_VALUE"""),"Conferência Internacional sobre Aspectos Formais de Software de Componentes")</f>
        <v>Conferência Internacional sobre Aspectos Formais de Software de Componentes</v>
      </c>
    </row>
    <row r="224">
      <c r="A224" s="5"/>
      <c r="B224" s="2" t="str">
        <f>IFERROR(__xludf.DUMMYFUNCTION("""COMPUTED_VALUE"""),"International Conference on Fundamental Approaches to Software Engineering")</f>
        <v>International Conference on Fundamental Approaches to Software Engineering</v>
      </c>
      <c r="C224" s="2" t="str">
        <f>IFERROR(__xludf.DUMMYFUNCTION("""COMPUTED_VALUE"""),"Conferência Internacional sobre Abordagens Fundamentais para Engenharia de Software")</f>
        <v>Conferência Internacional sobre Abordagens Fundamentais para Engenharia de Software</v>
      </c>
    </row>
    <row r="225">
      <c r="A225" s="4" t="s">
        <v>108</v>
      </c>
      <c r="B225" s="2" t="str">
        <f>IFERROR(__xludf.DUMMYFUNCTION("""COMPUTED_VALUE"""),"USENIX Conference on File and Storage Technologies")</f>
        <v>USENIX Conference on File and Storage Technologies</v>
      </c>
      <c r="C225" s="2" t="str">
        <f>IFERROR(__xludf.DUMMYFUNCTION("""COMPUTED_VALUE"""),"Conferência USENIX sobre Tecnologias de Arquivo e Armazenamento")</f>
        <v>Conferência USENIX sobre Tecnologias de Arquivo e Armazenamento</v>
      </c>
    </row>
    <row r="226">
      <c r="A226" s="5"/>
      <c r="B226" s="2" t="str">
        <f>IFERROR(__xludf.DUMMYFUNCTION("""COMPUTED_VALUE"""),"International Conference on Financial Cryptography and Data Security")</f>
        <v>International Conference on Financial Cryptography and Data Security</v>
      </c>
      <c r="C226" s="2" t="str">
        <f>IFERROR(__xludf.DUMMYFUNCTION("""COMPUTED_VALUE"""),"Conferência Internacional sobre Criptografia Financeira e Segurança de Dados")</f>
        <v>Conferência Internacional sobre Criptografia Financeira e Segurança de Dados</v>
      </c>
    </row>
    <row r="227">
      <c r="A227" s="4" t="s">
        <v>109</v>
      </c>
      <c r="B227" s="2" t="str">
        <f>IFERROR(__xludf.DUMMYFUNCTION("""COMPUTED_VALUE"""),"International Symposium on Fundamentals of Computation Theory")</f>
        <v>International Symposium on Fundamentals of Computation Theory</v>
      </c>
      <c r="C227" s="2" t="str">
        <f>IFERROR(__xludf.DUMMYFUNCTION("""COMPUTED_VALUE"""),"Simpósio Internacional sobre Teoria Fundamental da Computação")</f>
        <v>Simpósio Internacional sobre Teoria Fundamental da Computação</v>
      </c>
    </row>
    <row r="228">
      <c r="A228" s="5"/>
      <c r="B228" s="2" t="str">
        <f>IFERROR(__xludf.DUMMYFUNCTION("""COMPUTED_VALUE"""),"International Conference on Foundations of Digital Games")</f>
        <v>International Conference on Foundations of Digital Games</v>
      </c>
      <c r="C228" s="2" t="str">
        <f>IFERROR(__xludf.DUMMYFUNCTION("""COMPUTED_VALUE"""),"Conferência Internacional sobre Fundamentos de Jogos Digitais")</f>
        <v>Conferência Internacional sobre Fundamentos de Jogos Digitais</v>
      </c>
    </row>
    <row r="229">
      <c r="A229" s="4" t="s">
        <v>110</v>
      </c>
      <c r="B229" s="2" t="str">
        <f>IFERROR(__xludf.DUMMYFUNCTION("""COMPUTED_VALUE"""),"Federated Conference on Computer Science and Information Systems")</f>
        <v>Federated Conference on Computer Science and Information Systems</v>
      </c>
      <c r="C229" s="2" t="str">
        <f>IFERROR(__xludf.DUMMYFUNCTION("""COMPUTED_VALUE"""),"Conferência Federada de Ciência da Computação e Sistemas de Informação")</f>
        <v>Conferência Federada de Ciência da Computação e Sistemas de Informação</v>
      </c>
    </row>
    <row r="230">
      <c r="A230" s="5"/>
      <c r="B230" s="2" t="str">
        <f>IFERROR(__xludf.DUMMYFUNCTION("""COMPUTED_VALUE"""),"IEEE International Conference on Automatic Face and Gesture Recognition")</f>
        <v>IEEE International Conference on Automatic Face and Gesture Recognition</v>
      </c>
      <c r="C230" s="2" t="str">
        <f>IFERROR(__xludf.DUMMYFUNCTION("""COMPUTED_VALUE"""),"Conferência Internacional IEEE sobre Reconhecimento Automático de Face e Gestos")</f>
        <v>Conferência Internacional IEEE sobre Reconhecimento Automático de Face e Gestos</v>
      </c>
    </row>
    <row r="231">
      <c r="A231" s="4" t="s">
        <v>111</v>
      </c>
      <c r="B231" s="2" t="str">
        <f>IFERROR(__xludf.DUMMYFUNCTION("""COMPUTED_VALUE"""),"International Conference on Future Internet of Things and Cloud")</f>
        <v>International Conference on Future Internet of Things and Cloud</v>
      </c>
      <c r="C231" s="2" t="str">
        <f>IFERROR(__xludf.DUMMYFUNCTION("""COMPUTED_VALUE"""),"Conferência Internacional sobre Futura Internet das Coisas e Nuvem")</f>
        <v>Conferência Internacional sobre Futura Internet das Coisas e Nuvem</v>
      </c>
    </row>
    <row r="232">
      <c r="A232" s="5"/>
      <c r="B232" s="2" t="str">
        <f>IFERROR(__xludf.DUMMYFUNCTION("""COMPUTED_VALUE"""),"IEEE Frontiers in Education Conference")</f>
        <v>IEEE Frontiers in Education Conference</v>
      </c>
      <c r="C232" s="2" t="str">
        <f>IFERROR(__xludf.DUMMYFUNCTION("""COMPUTED_VALUE"""),"Conferência IEEE de Fronteiras na Educação")</f>
        <v>Conferência IEEE de Fronteiras na Educação</v>
      </c>
    </row>
    <row r="233">
      <c r="A233" s="4" t="s">
        <v>112</v>
      </c>
      <c r="B233" s="2" t="str">
        <f>IFERROR(__xludf.DUMMYFUNCTION("""COMPUTED_VALUE"""),"International Conference on Forntiers of Information Technology")</f>
        <v>International Conference on Forntiers of Information Technology</v>
      </c>
      <c r="C233" s="2" t="str">
        <f>IFERROR(__xludf.DUMMYFUNCTION("""COMPUTED_VALUE"""),"Conferência Internacional sobre Fronteiras da Tecnologia da Informação")</f>
        <v>Conferência Internacional sobre Fronteiras da Tecnologia da Informação</v>
      </c>
    </row>
    <row r="234">
      <c r="A234" s="5"/>
      <c r="B234" s="2" t="str">
        <f>IFERROR(__xludf.DUMMYFUNCTION("""COMPUTED_VALUE"""),"International Florida Artificial Intelligence Conference")</f>
        <v>International Florida Artificial Intelligence Conference</v>
      </c>
      <c r="C234" s="2" t="str">
        <f>IFERROR(__xludf.DUMMYFUNCTION("""COMPUTED_VALUE"""),"Conferência Internacional de Inteligência Artificial da Flórida")</f>
        <v>Conferência Internacional de Inteligência Artificial da Flórida</v>
      </c>
    </row>
    <row r="235">
      <c r="A235" s="4" t="s">
        <v>113</v>
      </c>
      <c r="B235" s="2" t="str">
        <f>IFERROR(__xludf.DUMMYFUNCTION("""COMPUTED_VALUE"""),"International Conference on Formal Methods in Computer-Aided Design")</f>
        <v>International Conference on Formal Methods in Computer-Aided Design</v>
      </c>
      <c r="C235" s="2" t="str">
        <f>IFERROR(__xludf.DUMMYFUNCTION("""COMPUTED_VALUE"""),"Conferência Internacional sobre Métodos Formais em Design Auxiliado por Computador")</f>
        <v>Conferência Internacional sobre Métodos Formais em Design Auxiliado por Computador</v>
      </c>
    </row>
    <row r="236">
      <c r="A236" s="5"/>
      <c r="B236" s="2" t="str">
        <f>IFERROR(__xludf.DUMMYFUNCTION("""COMPUTED_VALUE"""),"International Conference on Formal Ontology in Information Systems")</f>
        <v>International Conference on Formal Ontology in Information Systems</v>
      </c>
      <c r="C236" s="2" t="str">
        <f>IFERROR(__xludf.DUMMYFUNCTION("""COMPUTED_VALUE"""),"Conferência Internacional sobre Ontologia Formal em Sistemas de Informação")</f>
        <v>Conferência Internacional sobre Ontologia Formal em Sistemas de Informação</v>
      </c>
    </row>
    <row r="237">
      <c r="A237" s="4" t="s">
        <v>114</v>
      </c>
      <c r="B237" s="2" t="str">
        <f>IFERROR(__xludf.DUMMYFUNCTION("""COMPUTED_VALUE"""),"International Conference on Foundations of Software Science and Computation Structures")</f>
        <v>International Conference on Foundations of Software Science and Computation Structures</v>
      </c>
      <c r="C237" s="2" t="str">
        <f>IFERROR(__xludf.DUMMYFUNCTION("""COMPUTED_VALUE"""),"Conferência Internacional sobre Fundamentos da Ciência de Software e Estruturas de Computação")</f>
        <v>Conferência Internacional sobre Fundamentos da Ciência de Software e Estruturas de Computação</v>
      </c>
    </row>
    <row r="238">
      <c r="A238" s="5"/>
      <c r="B238" s="2" t="str">
        <f>IFERROR(__xludf.DUMMYFUNCTION("""COMPUTED_VALUE"""),"International Conference on Formal Structures for Computation and Deduction")</f>
        <v>International Conference on Formal Structures for Computation and Deduction</v>
      </c>
      <c r="C238" s="2" t="str">
        <f>IFERROR(__xludf.DUMMYFUNCTION("""COMPUTED_VALUE"""),"Conferência Internacional sobre Estruturas Formais para Computação e Dedução")</f>
        <v>Conferência Internacional sobre Estruturas Formais para Computação e Dedução</v>
      </c>
    </row>
    <row r="239">
      <c r="A239" s="4" t="s">
        <v>115</v>
      </c>
      <c r="B239" s="2" t="str">
        <f>IFERROR(__xludf.DUMMYFUNCTION("""COMPUTED_VALUE"""),"Joint Meeting on European Software Engineering Conference and Foundations of Software Engineering")</f>
        <v>Joint Meeting on European Software Engineering Conference and Foundations of Software Engineering</v>
      </c>
      <c r="C239" s="2" t="str">
        <f>IFERROR(__xludf.DUMMYFUNCTION("""COMPUTED_VALUE"""),"Reunião Conjunta sobre Conferência Europeia de Engenharia de Software e Fundamentos de Engenharia de Software")</f>
        <v>Reunião Conjunta sobre Conferência Europeia de Engenharia de Software e Fundamentos de Engenharia de Software</v>
      </c>
    </row>
    <row r="240">
      <c r="A240" s="5"/>
      <c r="B240" s="2" t="str">
        <f>IFERROR(__xludf.DUMMYFUNCTION("""COMPUTED_VALUE"""),"International Conference on Fundamentals of Software Engineering")</f>
        <v>International Conference on Fundamentals of Software Engineering</v>
      </c>
      <c r="C240" s="2" t="str">
        <f>IFERROR(__xludf.DUMMYFUNCTION("""COMPUTED_VALUE"""),"Conferência Internacional sobre Fundamentos da Engenharia de Software")</f>
        <v>Conferência Internacional sobre Fundamentos da Engenharia de Software</v>
      </c>
    </row>
    <row r="241">
      <c r="A241" s="4" t="s">
        <v>116</v>
      </c>
      <c r="B241" s="2" t="str">
        <f>IFERROR(__xludf.DUMMYFUNCTION("""COMPUTED_VALUE"""),"Future Technologies Conference")</f>
        <v>Future Technologies Conference</v>
      </c>
      <c r="C241" s="2" t="str">
        <f>IFERROR(__xludf.DUMMYFUNCTION("""COMPUTED_VALUE"""),"Conferência de Tecnologias Futuras")</f>
        <v>Conferência de Tecnologias Futuras</v>
      </c>
    </row>
    <row r="242">
      <c r="A242" s="5"/>
      <c r="B242" s="2" t="str">
        <f>IFERROR(__xludf.DUMMYFUNCTION("""COMPUTED_VALUE"""),"International Conference on Information Fusion")</f>
        <v>International Conference on Information Fusion</v>
      </c>
      <c r="C242" s="2" t="str">
        <f>IFERROR(__xludf.DUMMYFUNCTION("""COMPUTED_VALUE"""),"Conferência Internacional sobre Fusão de Informações")</f>
        <v>Conferência Internacional sobre Fusão de Informações</v>
      </c>
    </row>
    <row r="243">
      <c r="A243" s="4" t="s">
        <v>117</v>
      </c>
      <c r="B243" s="2" t="str">
        <f>IFERROR(__xludf.DUMMYFUNCTION("""COMPUTED_VALUE"""),"IEEE International Conference on Fuzzy Systems")</f>
        <v>IEEE International Conference on Fuzzy Systems</v>
      </c>
      <c r="C243" s="2" t="str">
        <f>IFERROR(__xludf.DUMMYFUNCTION("""COMPUTED_VALUE"""),"Conferência Internacional IEEE sobre Sistemas Fuzzy")</f>
        <v>Conferência Internacional IEEE sobre Sistemas Fuzzy</v>
      </c>
    </row>
    <row r="244">
      <c r="A244" s="5"/>
      <c r="B244" s="2" t="str">
        <f>IFERROR(__xludf.DUMMYFUNCTION("""COMPUTED_VALUE"""),"International Workshop on Games and Software Engineering")</f>
        <v>International Workshop on Games and Software Engineering</v>
      </c>
      <c r="C244" s="2" t="str">
        <f>IFERROR(__xludf.DUMMYFUNCTION("""COMPUTED_VALUE"""),"Workshop Internacional sobre Jogos e Engenharia de Software")</f>
        <v>Workshop Internacional sobre Jogos e Engenharia de Software</v>
      </c>
    </row>
    <row r="245">
      <c r="A245" s="4" t="s">
        <v>118</v>
      </c>
      <c r="B245" s="2" t="str">
        <f>IFERROR(__xludf.DUMMYFUNCTION("""COMPUTED_VALUE"""),"Genetic and Evolutionary Computation Conference")</f>
        <v>Genetic and Evolutionary Computation Conference</v>
      </c>
      <c r="C245" s="2" t="str">
        <f>IFERROR(__xludf.DUMMYFUNCTION("""COMPUTED_VALUE"""),"Conferência de Computação Genética e Evolutiva")</f>
        <v>Conferência de Computação Genética e Evolutiva</v>
      </c>
    </row>
    <row r="246">
      <c r="A246" s="5"/>
      <c r="B246" s="2" t="str">
        <f>IFERROR(__xludf.DUMMYFUNCTION("""COMPUTED_VALUE"""),"International Conference on Economics of Grids, Clouds, Systems and Services")</f>
        <v>International Conference on Economics of Grids, Clouds, Systems and Services</v>
      </c>
      <c r="C246" s="2" t="str">
        <f>IFERROR(__xludf.DUMMYFUNCTION("""COMPUTED_VALUE"""),"Conferência Internacional sobre Economia de Grades, Nuvens, Sistemas e Serviços")</f>
        <v>Conferência Internacional sobre Economia de Grades, Nuvens, Sistemas e Serviços</v>
      </c>
    </row>
    <row r="247">
      <c r="A247" s="4" t="s">
        <v>119</v>
      </c>
      <c r="B247" s="2" t="str">
        <f>IFERROR(__xludf.DUMMYFUNCTION("""COMPUTED_VALUE"""),"IEEE Games, Entertainment, Media Conference")</f>
        <v>IEEE Games, Entertainment, Media Conference</v>
      </c>
      <c r="C247" s="2" t="str">
        <f>IFERROR(__xludf.DUMMYFUNCTION("""COMPUTED_VALUE"""),"Conferência IEEE de Jogos, Entretenimento e Mídia")</f>
        <v>Conferência IEEE de Jogos, Entretenimento e Mídia</v>
      </c>
    </row>
    <row r="248">
      <c r="A248" s="5"/>
      <c r="B248" s="2" t="str">
        <f>IFERROR(__xludf.DUMMYFUNCTION("""COMPUTED_VALUE"""),"Brazilian Symposium on GeoInformatics")</f>
        <v>Brazilian Symposium on GeoInformatics</v>
      </c>
      <c r="C248" s="2" t="str">
        <f>IFERROR(__xludf.DUMMYFUNCTION("""COMPUTED_VALUE"""),"Simpósio Brasileiro de Geoinformática")</f>
        <v>Simpósio Brasileiro de Geoinformática</v>
      </c>
    </row>
    <row r="249">
      <c r="A249" s="4" t="s">
        <v>120</v>
      </c>
      <c r="B249" s="2" t="str">
        <f>IFERROR(__xludf.DUMMYFUNCTION("""COMPUTED_VALUE"""),"IARIA International Conference on Advanced Geographic Information Systems, Applications, and Services")</f>
        <v>IARIA International Conference on Advanced Geographic Information Systems, Applications, and Services</v>
      </c>
      <c r="C249" s="2" t="str">
        <f>IFERROR(__xludf.DUMMYFUNCTION("""COMPUTED_VALUE"""),"Conferência Internacional IARIA sobre Sistemas Avançados de Informação Geográfica, Aplicações e Serviços")</f>
        <v>Conferência Internacional IARIA sobre Sistemas Avançados de Informação Geográfica, Aplicações e Serviços</v>
      </c>
    </row>
    <row r="250">
      <c r="A250" s="5"/>
      <c r="B250" s="2" t="str">
        <f>IFERROR(__xludf.DUMMYFUNCTION("""COMPUTED_VALUE"""),"Global Information Infrastructure and Networking Symposium")</f>
        <v>Global Information Infrastructure and Networking Symposium</v>
      </c>
      <c r="C250" s="2" t="str">
        <f>IFERROR(__xludf.DUMMYFUNCTION("""COMPUTED_VALUE"""),"Simpósio Global de Infraestrutura de Informação e Redes")</f>
        <v>Simpósio Global de Infraestrutura de Informação e Redes</v>
      </c>
    </row>
    <row r="251">
      <c r="A251" s="4" t="s">
        <v>121</v>
      </c>
      <c r="B251" s="2" t="str">
        <f>IFERROR(__xludf.DUMMYFUNCTION("""COMPUTED_VALUE"""),"IEEE Global Communications Conference")</f>
        <v>IEEE Global Communications Conference</v>
      </c>
      <c r="C251" s="2" t="str">
        <f>IFERROR(__xludf.DUMMYFUNCTION("""COMPUTED_VALUE"""),"Conferência Global de Comunicações IEEE")</f>
        <v>Conferência Global de Comunicações IEEE</v>
      </c>
    </row>
    <row r="252">
      <c r="A252" s="5"/>
      <c r="B252" s="2" t="str">
        <f>IFERROR(__xludf.DUMMYFUNCTION("""COMPUTED_VALUE"""),"ACM International Conference on Generative Programming: Concepts and Experiences")</f>
        <v>ACM International Conference on Generative Programming: Concepts and Experiences</v>
      </c>
      <c r="C252" s="2" t="str">
        <f>IFERROR(__xludf.DUMMYFUNCTION("""COMPUTED_VALUE"""),"Conferência Internacional ACM sobre Programação Generativa: Conceitos e Experiências")</f>
        <v>Conferência Internacional ACM sobre Programação Generativa: Conceitos e Experiências</v>
      </c>
    </row>
    <row r="253">
      <c r="A253" s="4" t="s">
        <v>122</v>
      </c>
      <c r="B253" s="2" t="str">
        <f>IFERROR(__xludf.DUMMYFUNCTION("""COMPUTED_VALUE"""),"International Conference on Computer Graphics Theory and Applications")</f>
        <v>International Conference on Computer Graphics Theory and Applications</v>
      </c>
      <c r="C253" s="2" t="str">
        <f>IFERROR(__xludf.DUMMYFUNCTION("""COMPUTED_VALUE"""),"Conferência Internacional sobre Teoria e Aplicações de Computação Gráfica")</f>
        <v>Conferência Internacional sobre Teoria e Aplicações de Computação Gráfica</v>
      </c>
    </row>
    <row r="254">
      <c r="A254" s="5"/>
      <c r="B254" s="2" t="str">
        <f>IFERROR(__xludf.DUMMYFUNCTION("""COMPUTED_VALUE"""),"International Conference on Supporting Group Work")</f>
        <v>International Conference on Supporting Group Work</v>
      </c>
      <c r="C254" s="2" t="str">
        <f>IFERROR(__xludf.DUMMYFUNCTION("""COMPUTED_VALUE"""),"Conferência Internacional sobre Apoio ao Trabalho em Grupo")</f>
        <v>Conferência Internacional sobre Apoio ao Trabalho em Grupo</v>
      </c>
    </row>
    <row r="255">
      <c r="A255" s="4" t="s">
        <v>123</v>
      </c>
      <c r="B255" s="2" t="str">
        <f>IFERROR(__xludf.DUMMYFUNCTION("""COMPUTED_VALUE"""),"International Conference on Hybrid Artificial Intelligence Systems")</f>
        <v>International Conference on Hybrid Artificial Intelligence Systems</v>
      </c>
      <c r="C255" s="2" t="str">
        <f>IFERROR(__xludf.DUMMYFUNCTION("""COMPUTED_VALUE"""),"Conferência Internacional sobre Sistemas Híbridos de Inteligência Artificial")</f>
        <v>Conferência Internacional sobre Sistemas Híbridos de Inteligência Artificial</v>
      </c>
    </row>
    <row r="256">
      <c r="A256" s="5"/>
      <c r="B256" s="2" t="str">
        <f>IFERROR(__xludf.DUMMYFUNCTION("""COMPUTED_VALUE"""),"International Conference on Human-Centered Software Engineering")</f>
        <v>International Conference on Human-Centered Software Engineering</v>
      </c>
      <c r="C256" s="2" t="str">
        <f>IFERROR(__xludf.DUMMYFUNCTION("""COMPUTED_VALUE"""),"Conferência Internacional sobre Engenharia de Software Centrada no Ser Humano")</f>
        <v>Conferência Internacional sobre Engenharia de Software Centrada no Ser Humano</v>
      </c>
    </row>
    <row r="257">
      <c r="A257" s="4" t="s">
        <v>124</v>
      </c>
      <c r="B257" s="2" t="str">
        <f>IFERROR(__xludf.DUMMYFUNCTION("""COMPUTED_VALUE"""),"IEEE International Conference on E-health Networking, Application &amp; Services")</f>
        <v>IEEE International Conference on E-health Networking, Application &amp; Services</v>
      </c>
      <c r="C257" s="2" t="str">
        <f>IFERROR(__xludf.DUMMYFUNCTION("""COMPUTED_VALUE"""),"Conferência Internacional IEEE sobre Redes, Aplicações e Serviços de Saúde Eletrônica")</f>
        <v>Conferência Internacional IEEE sobre Redes, Aplicações e Serviços de Saúde Eletrônica</v>
      </c>
    </row>
    <row r="258">
      <c r="A258" s="5"/>
      <c r="B258" s="2" t="str">
        <f>IFERROR(__xludf.DUMMYFUNCTION("""COMPUTED_VALUE"""),"International Conference on Health Informatics")</f>
        <v>International Conference on Health Informatics</v>
      </c>
      <c r="C258" s="2" t="str">
        <f>IFERROR(__xludf.DUMMYFUNCTION("""COMPUTED_VALUE"""),"Conferência Internacional sobre Informática em Saúde")</f>
        <v>Conferência Internacional sobre Informática em Saúde</v>
      </c>
    </row>
    <row r="259">
      <c r="A259" s="4" t="s">
        <v>125</v>
      </c>
      <c r="B259" s="2" t="str">
        <f>IFERROR(__xludf.DUMMYFUNCTION("""COMPUTED_VALUE"""),"Hawaii International Conference on System Sciences")</f>
        <v>Hawaii International Conference on System Sciences</v>
      </c>
      <c r="C259" s="2" t="str">
        <f>IFERROR(__xludf.DUMMYFUNCTION("""COMPUTED_VALUE"""),"Conferência Internacional de Ciências de Sistemas do Havaí")</f>
        <v>Conferência Internacional de Ciências de Sistemas do Havaí</v>
      </c>
    </row>
    <row r="260">
      <c r="A260" s="5"/>
      <c r="B260" s="2" t="str">
        <f>IFERROR(__xludf.DUMMYFUNCTION("""COMPUTED_VALUE"""),"International Conference on Health Informatics and Medical Systems")</f>
        <v>International Conference on Health Informatics and Medical Systems</v>
      </c>
      <c r="C260" s="2" t="str">
        <f>IFERROR(__xludf.DUMMYFUNCTION("""COMPUTED_VALUE"""),"Conferência Internacional sobre Informática em Saúde e Sistemas Médicos")</f>
        <v>Conferência Internacional sobre Informática em Saúde e Sistemas Médicos</v>
      </c>
    </row>
    <row r="261">
      <c r="A261" s="4" t="s">
        <v>126</v>
      </c>
      <c r="B261" s="2" t="str">
        <f>IFERROR(__xludf.DUMMYFUNCTION("""COMPUTED_VALUE"""),"IEEE International Conference on High Performance Computing, Data and Analytics")</f>
        <v>IEEE International Conference on High Performance Computing, Data and Analytics</v>
      </c>
      <c r="C261" s="2" t="str">
        <f>IFERROR(__xludf.DUMMYFUNCTION("""COMPUTED_VALUE"""),"Conferência Internacional IEEE sobre Computação de Alto Desempenho, Dados e Análise")</f>
        <v>Conferência Internacional IEEE sobre Computação de Alto Desempenho, Dados e Análise</v>
      </c>
    </row>
    <row r="262">
      <c r="A262" s="5"/>
      <c r="B262" s="2" t="str">
        <f>IFERROR(__xludf.DUMMYFUNCTION("""COMPUTED_VALUE"""),"International Conference on Hybrid Intelligent Systems")</f>
        <v>International Conference on Hybrid Intelligent Systems</v>
      </c>
      <c r="C262" s="2" t="str">
        <f>IFERROR(__xludf.DUMMYFUNCTION("""COMPUTED_VALUE"""),"Conferência Internacional sobre Sistemas Inteligentes Híbridos")</f>
        <v>Conferência Internacional sobre Sistemas Inteligentes Híbridos</v>
      </c>
    </row>
    <row r="263">
      <c r="A263" s="4" t="s">
        <v>127</v>
      </c>
      <c r="B263" s="2" t="str">
        <f>IFERROR(__xludf.DUMMYFUNCTION("""COMPUTED_VALUE"""),"International Conference on High Performance Computing &amp; Simulation")</f>
        <v>International Conference on High Performance Computing &amp; Simulation</v>
      </c>
      <c r="C263" s="2" t="str">
        <f>IFERROR(__xludf.DUMMYFUNCTION("""COMPUTED_VALUE"""),"Conferência Internacional sobre Computação de Alto Desempenho e Simulação")</f>
        <v>Conferência Internacional sobre Computação de Alto Desempenho e Simulação</v>
      </c>
    </row>
    <row r="264">
      <c r="A264" s="5"/>
      <c r="B264" s="2" t="str">
        <f>IFERROR(__xludf.DUMMYFUNCTION("""COMPUTED_VALUE"""),"Haskell Symposium")</f>
        <v>Haskell Symposium</v>
      </c>
      <c r="C264" s="2" t="str">
        <f>IFERROR(__xludf.DUMMYFUNCTION("""COMPUTED_VALUE"""),"Simpósio Haskell")</f>
        <v>Simpósio Haskell</v>
      </c>
    </row>
    <row r="265">
      <c r="A265" s="4" t="s">
        <v>128</v>
      </c>
      <c r="B265" s="2" t="str">
        <f>IFERROR(__xludf.DUMMYFUNCTION("""COMPUTED_VALUE"""),"ACM Conference on Hypertext and Social Media")</f>
        <v>ACM Conference on Hypertext and Social Media</v>
      </c>
      <c r="C265" s="2" t="str">
        <f>IFERROR(__xludf.DUMMYFUNCTION("""COMPUTED_VALUE"""),"Conferência ACM sobre Hipertexto e Mídia Social")</f>
        <v>Conferência ACM sobre Hipertexto e Mídia Social</v>
      </c>
    </row>
    <row r="266">
      <c r="A266" s="5"/>
      <c r="B266" s="2" t="str">
        <f>IFERROR(__xludf.DUMMYFUNCTION("""COMPUTED_VALUE"""),"IEEE RAS International Conference on Humanoid Robot")</f>
        <v>IEEE RAS International Conference on Humanoid Robot</v>
      </c>
      <c r="C266" s="2" t="str">
        <f>IFERROR(__xludf.DUMMYFUNCTION("""COMPUTED_VALUE"""),"Conferência Internacional IEEE RAS sobre Robôs Humanoides")</f>
        <v>Conferência Internacional IEEE RAS sobre Robôs Humanoides</v>
      </c>
    </row>
    <row r="267">
      <c r="A267" s="4" t="s">
        <v>129</v>
      </c>
      <c r="B267" s="2" t="str">
        <f>IFERROR(__xludf.DUMMYFUNCTION("""COMPUTED_VALUE"""),"IEEE International Instrumentation and Measurement Technology Conference")</f>
        <v>IEEE International Instrumentation and Measurement Technology Conference</v>
      </c>
      <c r="C267" s="2" t="str">
        <f>IFERROR(__xludf.DUMMYFUNCTION("""COMPUTED_VALUE"""),"Conferência Internacional IEEE de Tecnologia de Instrumentação e Medição")</f>
        <v>Conferência Internacional IEEE de Tecnologia de Instrumentação e Medição</v>
      </c>
    </row>
    <row r="268">
      <c r="A268" s="5"/>
      <c r="B268" s="2" t="str">
        <f>IFERROR(__xludf.DUMMYFUNCTION("""COMPUTED_VALUE"""),"IFIP International Conference on e-Business, e-Services, and e-Society")</f>
        <v>IFIP International Conference on e-Business, e-Services, and e-Society</v>
      </c>
      <c r="C268" s="2" t="str">
        <f>IFERROR(__xludf.DUMMYFUNCTION("""COMPUTED_VALUE"""),"Conferência Internacional IFIP sobre e-Business, e-Serviços e e-Sociedade")</f>
        <v>Conferência Internacional IFIP sobre e-Business, e-Serviços e e-Sociedade</v>
      </c>
    </row>
    <row r="269">
      <c r="A269" s="4" t="s">
        <v>130</v>
      </c>
      <c r="B269" s="2" t="str">
        <f>IFERROR(__xludf.DUMMYFUNCTION("""COMPUTED_VALUE"""),"Industry Applications Society Annual Meeting")</f>
        <v>Industry Applications Society Annual Meeting</v>
      </c>
      <c r="C269" s="2" t="str">
        <f>IFERROR(__xludf.DUMMYFUNCTION("""COMPUTED_VALUE"""),"Reunião Anual da Sociedade de Aplicações Industriais")</f>
        <v>Reunião Anual da Sociedade de Aplicações Industriais</v>
      </c>
    </row>
    <row r="270">
      <c r="A270" s="5"/>
      <c r="B270" s="2" t="str">
        <f>IFERROR(__xludf.DUMMYFUNCTION("""COMPUTED_VALUE"""),"Ibero-American Conference on Artificial Intelligence")</f>
        <v>Ibero-American Conference on Artificial Intelligence</v>
      </c>
      <c r="C270" s="2" t="str">
        <f>IFERROR(__xludf.DUMMYFUNCTION("""COMPUTED_VALUE"""),"Conferência Ibero-Americana sobre Inteligência Artificial")</f>
        <v>Conferência Ibero-Americana sobre Inteligência Artificial</v>
      </c>
    </row>
    <row r="271">
      <c r="A271" s="4" t="s">
        <v>131</v>
      </c>
      <c r="B271" s="2" t="str">
        <f>IFERROR(__xludf.DUMMYFUNCTION("""COMPUTED_VALUE"""),"Workshop Iberchip")</f>
        <v>Workshop Iberchip</v>
      </c>
      <c r="C271" s="2" t="str">
        <f>IFERROR(__xludf.DUMMYFUNCTION("""COMPUTED_VALUE"""),"Iberchip Workshop")</f>
        <v>Iberchip Workshop</v>
      </c>
    </row>
    <row r="272">
      <c r="A272" s="5"/>
      <c r="B272" s="2" t="str">
        <f>IFERROR(__xludf.DUMMYFUNCTION("""COMPUTED_VALUE"""),"Iberspeech Conference")</f>
        <v>Iberspeech Conference</v>
      </c>
      <c r="C272" s="2" t="str">
        <f>IFERROR(__xludf.DUMMYFUNCTION("""COMPUTED_VALUE"""),"Conferência Iberspeech")</f>
        <v>Conferência Iberspeech</v>
      </c>
    </row>
    <row r="273">
      <c r="A273" s="4" t="s">
        <v>132</v>
      </c>
      <c r="B273" s="2" t="str">
        <f>IFERROR(__xludf.DUMMYFUNCTION("""COMPUTED_VALUE"""),"Iberian Conference on Pattern Recognition and Image Analysis")</f>
        <v>Iberian Conference on Pattern Recognition and Image Analysis</v>
      </c>
      <c r="C273" s="2" t="str">
        <f>IFERROR(__xludf.DUMMYFUNCTION("""COMPUTED_VALUE"""),"Conferência Ibérica sobre Reconhecimento de Padrões e Análise de Imagem")</f>
        <v>Conferência Ibérica sobre Reconhecimento de Padrões e Análise de Imagem</v>
      </c>
    </row>
    <row r="274">
      <c r="A274" s="5"/>
      <c r="B274" s="2" t="str">
        <f>IFERROR(__xludf.DUMMYFUNCTION("""COMPUTED_VALUE"""),"IEEE International Conference on Cloud Engineering")</f>
        <v>IEEE International Conference on Cloud Engineering</v>
      </c>
      <c r="C274" s="2" t="str">
        <f>IFERROR(__xludf.DUMMYFUNCTION("""COMPUTED_VALUE"""),"Conferência Internacional IEEE sobre Engenharia de Nuvem")</f>
        <v>Conferência Internacional IEEE sobre Engenharia de Nuvem</v>
      </c>
    </row>
    <row r="275">
      <c r="A275" s="4" t="s">
        <v>133</v>
      </c>
      <c r="B275" s="2" t="str">
        <f>IFERROR(__xludf.DUMMYFUNCTION("""COMPUTED_VALUE"""),"International Joint Conference on Knowledge Discovery, Knowledge Engineering and Knowledge Management")</f>
        <v>International Joint Conference on Knowledge Discovery, Knowledge Engineering and Knowledge Management</v>
      </c>
      <c r="C275" s="2" t="str">
        <f>IFERROR(__xludf.DUMMYFUNCTION("""COMPUTED_VALUE"""),"Conferência Internacional Conjunta sobre Descoberta de Conhecimento, Engenharia de Conhecimento e Gestão de Conhecimento")</f>
        <v>Conferência Internacional Conjunta sobre Descoberta de Conhecimento, Engenharia de Conhecimento e Gestão de Conhecimento</v>
      </c>
    </row>
    <row r="276">
      <c r="A276" s="5"/>
      <c r="B276" s="2" t="str">
        <f>IFERROR(__xludf.DUMMYFUNCTION("""COMPUTED_VALUE"""),"International Conference on Agents and Artificial Intelligence")</f>
        <v>International Conference on Agents and Artificial Intelligence</v>
      </c>
      <c r="C276" s="2" t="str">
        <f>IFERROR(__xludf.DUMMYFUNCTION("""COMPUTED_VALUE"""),"Conferência Internacional sobre Agentes e Inteligência Artificial")</f>
        <v>Conferência Internacional sobre Agentes e Inteligência Artificial</v>
      </c>
    </row>
    <row r="277">
      <c r="A277" s="4" t="s">
        <v>134</v>
      </c>
      <c r="B277" s="2" t="str">
        <f>IFERROR(__xludf.DUMMYFUNCTION("""COMPUTED_VALUE"""),"International Conference on Applied Informatics")</f>
        <v>International Conference on Applied Informatics</v>
      </c>
      <c r="C277" s="2" t="str">
        <f>IFERROR(__xludf.DUMMYFUNCTION("""COMPUTED_VALUE"""),"Conferência Internacional sobre Informática Aplicada")</f>
        <v>Conferência Internacional sobre Informática Aplicada</v>
      </c>
    </row>
    <row r="278">
      <c r="A278" s="5"/>
      <c r="B278" s="2" t="str">
        <f>IFERROR(__xludf.DUMMYFUNCTION("""COMPUTED_VALUE"""),"International Conference on Artificial Intelligence and Soft Computing")</f>
        <v>International Conference on Artificial Intelligence and Soft Computing</v>
      </c>
      <c r="C278" s="2" t="str">
        <f>IFERROR(__xludf.DUMMYFUNCTION("""COMPUTED_VALUE"""),"Conferência Internacional sobre Inteligência Artificial e Computação Suave")</f>
        <v>Conferência Internacional sobre Inteligência Artificial e Computação Suave</v>
      </c>
    </row>
    <row r="279">
      <c r="A279" s="4" t="s">
        <v>135</v>
      </c>
      <c r="B279" s="2" t="str">
        <f>IFERROR(__xludf.DUMMYFUNCTION("""COMPUTED_VALUE"""),"International Conference on Artificial Intelligence")</f>
        <v>International Conference on Artificial Intelligence</v>
      </c>
      <c r="C279" s="2" t="str">
        <f>IFERROR(__xludf.DUMMYFUNCTION("""COMPUTED_VALUE"""),"Conferência Internacional sobre Inteligência Artificial")</f>
        <v>Conferência Internacional sobre Inteligência Artificial</v>
      </c>
    </row>
    <row r="280">
      <c r="A280" s="5"/>
      <c r="B280" s="2" t="str">
        <f>IFERROR(__xludf.DUMMYFUNCTION("""COMPUTED_VALUE"""),"International Colloquium on Automata, Languages, and Programming")</f>
        <v>International Colloquium on Automata, Languages, and Programming</v>
      </c>
      <c r="C280" s="2" t="str">
        <f>IFERROR(__xludf.DUMMYFUNCTION("""COMPUTED_VALUE"""),"Colóquio Internacional sobre Autômatos, Linguagens e Programação")</f>
        <v>Colóquio Internacional sobre Autômatos, Linguagens e Programação</v>
      </c>
    </row>
    <row r="281">
      <c r="A281" s="4" t="s">
        <v>136</v>
      </c>
      <c r="B281" s="2" t="str">
        <f>IFERROR(__xludf.DUMMYFUNCTION("""COMPUTED_VALUE"""),"IEEE International Conference on Advanced Learning Technologies")</f>
        <v>IEEE International Conference on Advanced Learning Technologies</v>
      </c>
      <c r="C281" s="2" t="str">
        <f>IFERROR(__xludf.DUMMYFUNCTION("""COMPUTED_VALUE"""),"Conferência Internacional IEEE sobre Tecnologias Avançadas de Aprendizagem")</f>
        <v>Conferência Internacional IEEE sobre Tecnologias Avançadas de Aprendizagem</v>
      </c>
    </row>
    <row r="282">
      <c r="A282" s="5"/>
      <c r="B282" s="2" t="str">
        <f>IFERROR(__xludf.DUMMYFUNCTION("""COMPUTED_VALUE"""),"International Conference on Artificial Neural Networks")</f>
        <v>International Conference on Artificial Neural Networks</v>
      </c>
      <c r="C282" s="2" t="str">
        <f>IFERROR(__xludf.DUMMYFUNCTION("""COMPUTED_VALUE"""),"Conferência Internacional sobre Redes Neurais Artificiais")</f>
        <v>Conferência Internacional sobre Redes Neurais Artificiais</v>
      </c>
    </row>
    <row r="283">
      <c r="A283" s="4" t="s">
        <v>137</v>
      </c>
      <c r="B283" s="2" t="str">
        <f>IFERROR(__xludf.DUMMYFUNCTION("""COMPUTED_VALUE"""),"International Conference on Automated Planning and Scheduling")</f>
        <v>International Conference on Automated Planning and Scheduling</v>
      </c>
      <c r="C283" s="2" t="str">
        <f>IFERROR(__xludf.DUMMYFUNCTION("""COMPUTED_VALUE"""),"Conferência Internacional sobre Planejamento e Agendamento Automatizado")</f>
        <v>Conferência Internacional sobre Planejamento e Agendamento Automatizado</v>
      </c>
    </row>
    <row r="284">
      <c r="A284" s="5"/>
      <c r="B284" s="2" t="str">
        <f>IFERROR(__xludf.DUMMYFUNCTION("""COMPUTED_VALUE"""),"International Conference on Advanced Robotics")</f>
        <v>International Conference on Advanced Robotics</v>
      </c>
      <c r="C284" s="2" t="str">
        <f>IFERROR(__xludf.DUMMYFUNCTION("""COMPUTED_VALUE"""),"Conferência Internacional sobre Robótica Avançada")</f>
        <v>Conferência Internacional sobre Robótica Avançada</v>
      </c>
    </row>
    <row r="285">
      <c r="A285" s="4" t="s">
        <v>138</v>
      </c>
      <c r="B285" s="2" t="str">
        <f>IFERROR(__xludf.DUMMYFUNCTION("""COMPUTED_VALUE"""),"International Conference on Control, Automation, Robotics and Vision")</f>
        <v>International Conference on Control, Automation, Robotics and Vision</v>
      </c>
      <c r="C285" s="2" t="str">
        <f>IFERROR(__xludf.DUMMYFUNCTION("""COMPUTED_VALUE"""),"Conferência Internacional sobre Controle, Automação, Robótica e Visão")</f>
        <v>Conferência Internacional sobre Controle, Automação, Robótica e Visão</v>
      </c>
    </row>
    <row r="286">
      <c r="A286" s="5"/>
      <c r="B286" s="2" t="str">
        <f>IFERROR(__xludf.DUMMYFUNCTION("""COMPUTED_VALUE"""),"IEEE International Conference on Acoustics, Speech and Signal Processing")</f>
        <v>IEEE International Conference on Acoustics, Speech and Signal Processing</v>
      </c>
      <c r="C286" s="2" t="str">
        <f>IFERROR(__xludf.DUMMYFUNCTION("""COMPUTED_VALUE"""),"Conferência Internacional IEEE sobre Acústica, Fala e Processamento de Sinais")</f>
        <v>Conferência Internacional IEEE sobre Acústica, Fala e Processamento de Sinais</v>
      </c>
    </row>
    <row r="287">
      <c r="A287" s="4" t="s">
        <v>139</v>
      </c>
      <c r="B287" s="2" t="str">
        <f>IFERROR(__xludf.DUMMYFUNCTION("""COMPUTED_VALUE"""),"International Conference on Biometrics")</f>
        <v>International Conference on Biometrics</v>
      </c>
      <c r="C287" s="2" t="str">
        <f>IFERROR(__xludf.DUMMYFUNCTION("""COMPUTED_VALUE"""),"Conferência Internacional sobre Biometria")</f>
        <v>Conferência Internacional sobre Biometria</v>
      </c>
    </row>
    <row r="288">
      <c r="A288" s="5"/>
      <c r="B288" s="2" t="str">
        <f>IFERROR(__xludf.DUMMYFUNCTION("""COMPUTED_VALUE"""),"IEEE International Conference on Blockchain and Cryptocurrency")</f>
        <v>IEEE International Conference on Blockchain and Cryptocurrency</v>
      </c>
      <c r="C288" s="2" t="str">
        <f>IFERROR(__xludf.DUMMYFUNCTION("""COMPUTED_VALUE"""),"Conferência Internacional IEEE sobre Blockchain e Criptomoeda")</f>
        <v>Conferência Internacional IEEE sobre Blockchain e Criptomoeda</v>
      </c>
    </row>
    <row r="289">
      <c r="A289" s="4" t="s">
        <v>140</v>
      </c>
      <c r="B289" s="2" t="str">
        <f>IFERROR(__xludf.DUMMYFUNCTION("""COMPUTED_VALUE"""),"International Conference on Communications")</f>
        <v>International Conference on Communications</v>
      </c>
      <c r="C289" s="2" t="str">
        <f>IFERROR(__xludf.DUMMYFUNCTION("""COMPUTED_VALUE"""),"Conferência Internacional sobre Comunicações")</f>
        <v>Conferência Internacional sobre Comunicações</v>
      </c>
    </row>
    <row r="290">
      <c r="A290" s="5"/>
      <c r="B290" s="2" t="str">
        <f>IFERROR(__xludf.DUMMYFUNCTION("""COMPUTED_VALUE"""),"International Conference on Communications Companion")</f>
        <v>International Conference on Communications Companion</v>
      </c>
      <c r="C290" s="2" t="str">
        <f>IFERROR(__xludf.DUMMYFUNCTION("""COMPUTED_VALUE"""),"Conferência Internacional sobre Comunicações (Complementar)")</f>
        <v>Conferência Internacional sobre Comunicações (Complementar)</v>
      </c>
    </row>
    <row r="291">
      <c r="A291" s="4" t="s">
        <v>141</v>
      </c>
      <c r="B291" s="2" t="str">
        <f>IFERROR(__xludf.DUMMYFUNCTION("""COMPUTED_VALUE"""),"International Conference on Computational Advances in Bio and Medical Sciences")</f>
        <v>International Conference on Computational Advances in Bio and Medical Sciences</v>
      </c>
      <c r="C291" s="2" t="str">
        <f>IFERROR(__xludf.DUMMYFUNCTION("""COMPUTED_VALUE"""),"Conferência Internacional sobre Avanços Computacionais em Ciências Bio e Médicas")</f>
        <v>Conferência Internacional sobre Avanços Computacionais em Ciências Bio e Médicas</v>
      </c>
    </row>
    <row r="292">
      <c r="A292" s="5"/>
      <c r="B292" s="2" t="str">
        <f>IFERROR(__xludf.DUMMYFUNCTION("""COMPUTED_VALUE"""),"International Conference on Control, Automation and Robotics")</f>
        <v>International Conference on Control, Automation and Robotics</v>
      </c>
      <c r="C292" s="2" t="str">
        <f>IFERROR(__xludf.DUMMYFUNCTION("""COMPUTED_VALUE"""),"Conferência Internacional sobre Controle, Automação e Robótica")</f>
        <v>Conferência Internacional sobre Controle, Automação e Robótica</v>
      </c>
    </row>
    <row r="293">
      <c r="A293" s="4" t="s">
        <v>142</v>
      </c>
      <c r="B293" s="2" t="str">
        <f>IFERROR(__xludf.DUMMYFUNCTION("""COMPUTED_VALUE"""),"International Conference on Computer Communications and Networks")</f>
        <v>International Conference on Computer Communications and Networks</v>
      </c>
      <c r="C293" s="2" t="str">
        <f>IFERROR(__xludf.DUMMYFUNCTION("""COMPUTED_VALUE"""),"Conferência Internacional sobre Comunicações e Redes de Computadores")</f>
        <v>Conferência Internacional sobre Comunicações e Redes de Computadores</v>
      </c>
    </row>
    <row r="294">
      <c r="A294" s="5"/>
      <c r="B294" s="2" t="str">
        <f>IFERROR(__xludf.DUMMYFUNCTION("""COMPUTED_VALUE"""),"International Conference on Computer Design")</f>
        <v>International Conference on Computer Design</v>
      </c>
      <c r="C294" s="2" t="str">
        <f>IFERROR(__xludf.DUMMYFUNCTION("""COMPUTED_VALUE"""),"Conferência Internacional sobre Design de Computadores")</f>
        <v>Conferência Internacional sobre Design de Computadores</v>
      </c>
    </row>
    <row r="295">
      <c r="A295" s="4" t="s">
        <v>143</v>
      </c>
      <c r="B295" s="2" t="str">
        <f>IFERROR(__xludf.DUMMYFUNCTION("""COMPUTED_VALUE"""),"International Conference on Computers in Education")</f>
        <v>International Conference on Computers in Education</v>
      </c>
      <c r="C295" s="2" t="str">
        <f>IFERROR(__xludf.DUMMYFUNCTION("""COMPUTED_VALUE"""),"Conferência Internacional sobre Computadores na Educação")</f>
        <v>Conferência Internacional sobre Computadores na Educação</v>
      </c>
    </row>
    <row r="296">
      <c r="A296" s="5"/>
      <c r="B296" s="2" t="str">
        <f>IFERROR(__xludf.DUMMYFUNCTION("""COMPUTED_VALUE"""),"International Conference on Computers Helping People with Special Needs")</f>
        <v>International Conference on Computers Helping People with Special Needs</v>
      </c>
      <c r="C296" s="2" t="str">
        <f>IFERROR(__xludf.DUMMYFUNCTION("""COMPUTED_VALUE"""),"Conferência Internacional sobre Computadores Ajudando Pessoas com Necessidades Especiais")</f>
        <v>Conferência Internacional sobre Computadores Ajudando Pessoas com Necessidades Especiais</v>
      </c>
    </row>
    <row r="297">
      <c r="A297" s="4" t="s">
        <v>144</v>
      </c>
      <c r="B297" s="2" t="str">
        <f>IFERROR(__xludf.DUMMYFUNCTION("""COMPUTED_VALUE"""),"International Conference on Computational Logistics")</f>
        <v>International Conference on Computational Logistics</v>
      </c>
      <c r="C297" s="2" t="str">
        <f>IFERROR(__xludf.DUMMYFUNCTION("""COMPUTED_VALUE"""),"Conferência Internacional sobre Logística Computacional")</f>
        <v>Conferência Internacional sobre Logística Computacional</v>
      </c>
    </row>
    <row r="298">
      <c r="A298" s="5"/>
      <c r="B298" s="2" t="str">
        <f>IFERROR(__xludf.DUMMYFUNCTION("""COMPUTED_VALUE"""),"IEEE International Conference on Intelligent Computer Communication and Processing")</f>
        <v>IEEE International Conference on Intelligent Computer Communication and Processing</v>
      </c>
      <c r="C298" s="2" t="str">
        <f>IFERROR(__xludf.DUMMYFUNCTION("""COMPUTED_VALUE"""),"Conferência Internacional IEEE sobre Comunicação e Processamento Inteligente de Computadores")</f>
        <v>Conferência Internacional IEEE sobre Comunicação e Processamento Inteligente de Computadores</v>
      </c>
    </row>
    <row r="299">
      <c r="A299" s="4" t="s">
        <v>145</v>
      </c>
      <c r="B299" s="2" t="str">
        <f>IFERROR(__xludf.DUMMYFUNCTION("""COMPUTED_VALUE"""),"International Conference on Computational Science")</f>
        <v>International Conference on Computational Science</v>
      </c>
      <c r="C299" s="2" t="str">
        <f>IFERROR(__xludf.DUMMYFUNCTION("""COMPUTED_VALUE"""),"Conferência Internacional sobre Ciência Computacional")</f>
        <v>Conferência Internacional sobre Ciência Computacional</v>
      </c>
    </row>
    <row r="300">
      <c r="A300" s="5"/>
      <c r="B300" s="2" t="str">
        <f>IFERROR(__xludf.DUMMYFUNCTION("""COMPUTED_VALUE"""),"International Conference on Computational Science and Its Applications")</f>
        <v>International Conference on Computational Science and Its Applications</v>
      </c>
      <c r="C300" s="2" t="str">
        <f>IFERROR(__xludf.DUMMYFUNCTION("""COMPUTED_VALUE"""),"Conferência Internacional sobre Ciência Computacional e suas Aplicações")</f>
        <v>Conferência Internacional sobre Ciência Computacional e suas Aplicações</v>
      </c>
    </row>
    <row r="301">
      <c r="A301" s="4" t="s">
        <v>146</v>
      </c>
      <c r="B301" s="2" t="str">
        <f>IFERROR(__xludf.DUMMYFUNCTION("""COMPUTED_VALUE"""),"IEEE International Conference on Computer Vision")</f>
        <v>IEEE International Conference on Computer Vision</v>
      </c>
      <c r="C301" s="2" t="str">
        <f>IFERROR(__xludf.DUMMYFUNCTION("""COMPUTED_VALUE"""),"Conferência Internacional IEEE sobre Visão Computacional")</f>
        <v>Conferência Internacional IEEE sobre Visão Computacional</v>
      </c>
    </row>
    <row r="302">
      <c r="A302" s="5"/>
      <c r="B302" s="2" t="str">
        <f>IFERROR(__xludf.DUMMYFUNCTION("""COMPUTED_VALUE"""),"IEEE International Conference on Computer Vision Companion")</f>
        <v>IEEE International Conference on Computer Vision Companion</v>
      </c>
      <c r="C302" s="2" t="str">
        <f>IFERROR(__xludf.DUMMYFUNCTION("""COMPUTED_VALUE"""),"Conferência Internacional IEEE sobre Visão Computacional (Complementar)")</f>
        <v>Conferência Internacional IEEE sobre Visão Computacional (Complementar)</v>
      </c>
    </row>
    <row r="303">
      <c r="A303" s="4" t="s">
        <v>147</v>
      </c>
      <c r="B303" s="2" t="str">
        <f>IFERROR(__xludf.DUMMYFUNCTION("""COMPUTED_VALUE"""),"International Conference on Document Analysis and Recognition")</f>
        <v>International Conference on Document Analysis and Recognition</v>
      </c>
      <c r="C303" s="2" t="str">
        <f>IFERROR(__xludf.DUMMYFUNCTION("""COMPUTED_VALUE"""),"Conferência Internacional sobre Análise e Reconhecimento de Documentos")</f>
        <v>Conferência Internacional sobre Análise e Reconhecimento de Documentos</v>
      </c>
    </row>
    <row r="304">
      <c r="A304" s="5"/>
      <c r="B304" s="2" t="str">
        <f>IFERROR(__xludf.DUMMYFUNCTION("""COMPUTED_VALUE"""),"International Conference on Distributed Computing Systems")</f>
        <v>International Conference on Distributed Computing Systems</v>
      </c>
      <c r="C304" s="2" t="str">
        <f>IFERROR(__xludf.DUMMYFUNCTION("""COMPUTED_VALUE"""),"Conferência Internacional sobre Sistemas de Computação Distribuída")</f>
        <v>Conferência Internacional sobre Sistemas de Computação Distribuída</v>
      </c>
    </row>
    <row r="305">
      <c r="A305" s="4" t="s">
        <v>148</v>
      </c>
      <c r="B305" s="2" t="str">
        <f>IFERROR(__xludf.DUMMYFUNCTION("""COMPUTED_VALUE"""),"IEEE International Conference on Data Engineering")</f>
        <v>IEEE International Conference on Data Engineering</v>
      </c>
      <c r="C305" s="2" t="str">
        <f>IFERROR(__xludf.DUMMYFUNCTION("""COMPUTED_VALUE"""),"Conferência Internacional IEEE sobre Engenharia de Dados")</f>
        <v>Conferência Internacional IEEE sobre Engenharia de Dados</v>
      </c>
    </row>
    <row r="306">
      <c r="A306" s="5"/>
      <c r="B306" s="2" t="str">
        <f>IFERROR(__xludf.DUMMYFUNCTION("""COMPUTED_VALUE"""),"International Conference on Digital Image Processing")</f>
        <v>International Conference on Digital Image Processing</v>
      </c>
      <c r="C306" s="2" t="str">
        <f>IFERROR(__xludf.DUMMYFUNCTION("""COMPUTED_VALUE"""),"Conferência Internacional sobre Processamento Digital de Imagens")</f>
        <v>Conferência Internacional sobre Processamento Digital de Imagens</v>
      </c>
    </row>
    <row r="307">
      <c r="A307" s="4" t="s">
        <v>149</v>
      </c>
      <c r="B307" s="2" t="str">
        <f>IFERROR(__xludf.DUMMYFUNCTION("""COMPUTED_VALUE"""),"IEEE International Conference on Data Mining")</f>
        <v>IEEE International Conference on Data Mining</v>
      </c>
      <c r="C307" s="2" t="str">
        <f>IFERROR(__xludf.DUMMYFUNCTION("""COMPUTED_VALUE"""),"Conferência Internacional IEEE sobre Mineração de Dados")</f>
        <v>Conferência Internacional IEEE sobre Mineração de Dados</v>
      </c>
    </row>
    <row r="308">
      <c r="A308" s="5"/>
      <c r="B308" s="2" t="str">
        <f>IFERROR(__xludf.DUMMYFUNCTION("""COMPUTED_VALUE"""),"IFIP International Conference on Entertainment Computing")</f>
        <v>IFIP International Conference on Entertainment Computing</v>
      </c>
      <c r="C308" s="2" t="str">
        <f>IFERROR(__xludf.DUMMYFUNCTION("""COMPUTED_VALUE"""),"Conferência Internacional IFIP sobre Computação de Entretenimento")</f>
        <v>Conferência Internacional IFIP sobre Computação de Entretenimento</v>
      </c>
    </row>
    <row r="309">
      <c r="A309" s="4" t="s">
        <v>150</v>
      </c>
      <c r="B309" s="2" t="str">
        <f>IFERROR(__xludf.DUMMYFUNCTION("""COMPUTED_VALUE"""),"IEEE International Conference on Electronics, Circuits and Systems")</f>
        <v>IEEE International Conference on Electronics, Circuits and Systems</v>
      </c>
      <c r="C309" s="2" t="str">
        <f>IFERROR(__xludf.DUMMYFUNCTION("""COMPUTED_VALUE"""),"Conferência Internacional IEEE sobre Eletrônica, Circuitos e Sistemas")</f>
        <v>Conferência Internacional IEEE sobre Eletrônica, Circuitos e Sistemas</v>
      </c>
    </row>
    <row r="310">
      <c r="A310" s="5"/>
      <c r="B310" s="2" t="str">
        <f>IFERROR(__xludf.DUMMYFUNCTION("""COMPUTED_VALUE"""),"International Conference on Theory and Practice of Eletronic Governance")</f>
        <v>International Conference on Theory and Practice of Eletronic Governance</v>
      </c>
      <c r="C310" s="2" t="str">
        <f>IFERROR(__xludf.DUMMYFUNCTION("""COMPUTED_VALUE"""),"Conferência Internacional sobre Teoria e Prática da Governança Eletrônica")</f>
        <v>Conferência Internacional sobre Teoria e Prática da Governança Eletrônica</v>
      </c>
    </row>
    <row r="311">
      <c r="A311" s="4" t="s">
        <v>151</v>
      </c>
      <c r="B311" s="2" t="str">
        <f>IFERROR(__xludf.DUMMYFUNCTION("""COMPUTED_VALUE"""),"International Conference on Enterprise Information Systems")</f>
        <v>International Conference on Enterprise Information Systems</v>
      </c>
      <c r="C311" s="2" t="str">
        <f>IFERROR(__xludf.DUMMYFUNCTION("""COMPUTED_VALUE"""),"Conferência Internacional sobre Sistemas de Informação Empresarial")</f>
        <v>Conferência Internacional sobre Sistemas de Informação Empresarial</v>
      </c>
    </row>
    <row r="312">
      <c r="A312" s="5"/>
      <c r="B312" s="2" t="str">
        <f>IFERROR(__xludf.DUMMYFUNCTION("""COMPUTED_VALUE"""),"International Conference on Formal Concept Analysis")</f>
        <v>International Conference on Formal Concept Analysis</v>
      </c>
      <c r="C312" s="2" t="str">
        <f>IFERROR(__xludf.DUMMYFUNCTION("""COMPUTED_VALUE"""),"Conferência Internacional sobre Análise Formal de Conceitos")</f>
        <v>Conferência Internacional sobre Análise Formal de Conceitos</v>
      </c>
    </row>
    <row r="313">
      <c r="A313" s="4" t="s">
        <v>152</v>
      </c>
      <c r="B313" s="2" t="str">
        <f>IFERROR(__xludf.DUMMYFUNCTION("""COMPUTED_VALUE"""),"International Conference on Formal Engineering Methods")</f>
        <v>International Conference on Formal Engineering Methods</v>
      </c>
      <c r="C313" s="2" t="str">
        <f>IFERROR(__xludf.DUMMYFUNCTION("""COMPUTED_VALUE"""),"Conferência Internacional sobre Métodos de Engenharia Formal")</f>
        <v>Conferência Internacional sobre Métodos de Engenharia Formal</v>
      </c>
    </row>
    <row r="314">
      <c r="A314" s="5"/>
      <c r="B314" s="2" t="str">
        <f>IFERROR(__xludf.DUMMYFUNCTION("""COMPUTED_VALUE"""),"International Conference on Grammatical Inference")</f>
        <v>International Conference on Grammatical Inference</v>
      </c>
      <c r="C314" s="2" t="str">
        <f>IFERROR(__xludf.DUMMYFUNCTION("""COMPUTED_VALUE"""),"Conferência Internacional sobre Inferência Gramatical")</f>
        <v>Conferência Internacional sobre Inferência Gramatical</v>
      </c>
    </row>
    <row r="315">
      <c r="A315" s="4" t="s">
        <v>153</v>
      </c>
      <c r="B315" s="2" t="str">
        <f>IFERROR(__xludf.DUMMYFUNCTION("""COMPUTED_VALUE"""),"International Conference on Game Jams, Hackathons, and Game Creation Events")</f>
        <v>International Conference on Game Jams, Hackathons, and Game Creation Events</v>
      </c>
      <c r="C315" s="2" t="str">
        <f>IFERROR(__xludf.DUMMYFUNCTION("""COMPUTED_VALUE"""),"Conferência Internacional sobre Game Jams, Hackathons e Eventos de Criação de Jogos")</f>
        <v>Conferência Internacional sobre Game Jams, Hackathons e Eventos de Criação de Jogos</v>
      </c>
    </row>
    <row r="316">
      <c r="A316" s="5"/>
      <c r="B316" s="2" t="str">
        <f>IFERROR(__xludf.DUMMYFUNCTION("""COMPUTED_VALUE"""),"IEEE International Conference on Healthcare Informatics")</f>
        <v>IEEE International Conference on Healthcare Informatics</v>
      </c>
      <c r="C316" s="2" t="str">
        <f>IFERROR(__xludf.DUMMYFUNCTION("""COMPUTED_VALUE"""),"Conferência Internacional IEEE sobre Informática em Saúde")</f>
        <v>Conferência Internacional IEEE sobre Informática em Saúde</v>
      </c>
    </row>
    <row r="317">
      <c r="A317" s="4" t="s">
        <v>154</v>
      </c>
      <c r="B317" s="2" t="str">
        <f>IFERROR(__xludf.DUMMYFUNCTION("""COMPUTED_VALUE"""),"International Conference on Image Analysis and Processing")</f>
        <v>International Conference on Image Analysis and Processing</v>
      </c>
      <c r="C317" s="2" t="str">
        <f>IFERROR(__xludf.DUMMYFUNCTION("""COMPUTED_VALUE"""),"Conferência Internacional sobre Análise e Processamento de Imagens")</f>
        <v>Conferência Internacional sobre Análise e Processamento de Imagens</v>
      </c>
    </row>
    <row r="318">
      <c r="A318" s="5"/>
      <c r="B318" s="2" t="str">
        <f>IFERROR(__xludf.DUMMYFUNCTION("""COMPUTED_VALUE"""),"International Conference on Image Analysis and Recognition")</f>
        <v>International Conference on Image Analysis and Recognition</v>
      </c>
      <c r="C318" s="2" t="str">
        <f>IFERROR(__xludf.DUMMYFUNCTION("""COMPUTED_VALUE"""),"Conferência Internacional sobre Análise e Reconhecimento de Imagens")</f>
        <v>Conferência Internacional sobre Análise e Reconhecimento de Imagens</v>
      </c>
    </row>
    <row r="319">
      <c r="A319" s="4" t="s">
        <v>155</v>
      </c>
      <c r="B319" s="2" t="str">
        <f>IFERROR(__xludf.DUMMYFUNCTION("""COMPUTED_VALUE"""),"International Conference on Information and Communications Security")</f>
        <v>International Conference on Information and Communications Security</v>
      </c>
      <c r="C319" s="2" t="str">
        <f>IFERROR(__xludf.DUMMYFUNCTION("""COMPUTED_VALUE"""),"Conferência Internacional sobre Segurança de Informações e Comunicações")</f>
        <v>Conferência Internacional sobre Segurança de Informações e Comunicações</v>
      </c>
    </row>
    <row r="320">
      <c r="A320" s="5"/>
      <c r="B320" s="2" t="str">
        <f>IFERROR(__xludf.DUMMYFUNCTION("""COMPUTED_VALUE"""),"International Conference on Informatics in Control, Automation and Robotics")</f>
        <v>International Conference on Informatics in Control, Automation and Robotics</v>
      </c>
      <c r="C320" s="2" t="str">
        <f>IFERROR(__xludf.DUMMYFUNCTION("""COMPUTED_VALUE"""),"Conferência Internacional sobre Informática em Controle, Automação e Robótica")</f>
        <v>Conferência Internacional sobre Informática em Controle, Automação e Robótica</v>
      </c>
    </row>
    <row r="321">
      <c r="A321" s="4" t="s">
        <v>156</v>
      </c>
      <c r="B321" s="2" t="str">
        <f>IFERROR(__xludf.DUMMYFUNCTION("""COMPUTED_VALUE"""),"International Conference on the Internet of Things")</f>
        <v>International Conference on the Internet of Things</v>
      </c>
      <c r="C321" s="2" t="str">
        <f>IFERROR(__xludf.DUMMYFUNCTION("""COMPUTED_VALUE"""),"Conferência Internacional sobre a Internet das Coisas")</f>
        <v>Conferência Internacional sobre a Internet das Coisas</v>
      </c>
    </row>
    <row r="322">
      <c r="A322" s="5"/>
      <c r="B322" s="2" t="str">
        <f>IFERROR(__xludf.DUMMYFUNCTION("""COMPUTED_VALUE"""),"IEEE International Conference on Image Processing")</f>
        <v>IEEE International Conference on Image Processing</v>
      </c>
      <c r="C322" s="2" t="str">
        <f>IFERROR(__xludf.DUMMYFUNCTION("""COMPUTED_VALUE"""),"Conferência Internacional IEEE sobre Processamento de Imagens")</f>
        <v>Conferência Internacional IEEE sobre Processamento de Imagens</v>
      </c>
    </row>
    <row r="323">
      <c r="A323" s="4" t="s">
        <v>157</v>
      </c>
      <c r="B323" s="2" t="str">
        <f>IFERROR(__xludf.DUMMYFUNCTION("""COMPUTED_VALUE"""),"International Conference on Information Systems Security")</f>
        <v>International Conference on Information Systems Security</v>
      </c>
      <c r="C323" s="2" t="str">
        <f>IFERROR(__xludf.DUMMYFUNCTION("""COMPUTED_VALUE"""),"Conferência Internacional sobre Segurança de Sistemas de Informação")</f>
        <v>Conferência Internacional sobre Segurança de Sistemas de Informação</v>
      </c>
    </row>
    <row r="324">
      <c r="A324" s="5"/>
      <c r="B324" s="2" t="str">
        <f>IFERROR(__xludf.DUMMYFUNCTION("""COMPUTED_VALUE"""),"IEEE International Conference on Industrial Technology")</f>
        <v>IEEE International Conference on Industrial Technology</v>
      </c>
      <c r="C324" s="2" t="str">
        <f>IFERROR(__xludf.DUMMYFUNCTION("""COMPUTED_VALUE"""),"Conferência Internacional IEEE sobre Tecnologia Industrial")</f>
        <v>Conferência Internacional IEEE sobre Tecnologia Industrial</v>
      </c>
    </row>
    <row r="325">
      <c r="A325" s="4" t="s">
        <v>158</v>
      </c>
      <c r="B325" s="2" t="str">
        <f>IFERROR(__xludf.DUMMYFUNCTION("""COMPUTED_VALUE"""),"International Conference on Information Technology &amp; Systems")</f>
        <v>International Conference on Information Technology &amp; Systems</v>
      </c>
      <c r="C325" s="2" t="str">
        <f>IFERROR(__xludf.DUMMYFUNCTION("""COMPUTED_VALUE"""),"Conferência Internacional sobre Tecnologia e Sistemas de Informação")</f>
        <v>Conferência Internacional sobre Tecnologia e Sistemas de Informação</v>
      </c>
    </row>
    <row r="326">
      <c r="A326" s="5"/>
      <c r="B326" s="2" t="str">
        <f>IFERROR(__xludf.DUMMYFUNCTION("""COMPUTED_VALUE"""),"International Conference on Information Technology and Education")</f>
        <v>International Conference on Information Technology and Education</v>
      </c>
      <c r="C326" s="2" t="str">
        <f>IFERROR(__xludf.DUMMYFUNCTION("""COMPUTED_VALUE"""),"Conferência Internacional sobre Tecnologia da Informação e Educação")</f>
        <v>Conferência Internacional sobre Tecnologia da Informação e Educação</v>
      </c>
    </row>
    <row r="327">
      <c r="A327" s="4" t="s">
        <v>159</v>
      </c>
      <c r="B327" s="2" t="str">
        <f>IFERROR(__xludf.DUMMYFUNCTION("""COMPUTED_VALUE"""),"International Conference on Information Theoretic Security")</f>
        <v>International Conference on Information Theoretic Security</v>
      </c>
      <c r="C327" s="2" t="str">
        <f>IFERROR(__xludf.DUMMYFUNCTION("""COMPUTED_VALUE"""),"Conferência Internacional sobre Segurança Teórica da Informação")</f>
        <v>Conferência Internacional sobre Segurança Teórica da Informação</v>
      </c>
    </row>
    <row r="328">
      <c r="A328" s="5"/>
      <c r="B328" s="2" t="str">
        <f>IFERROR(__xludf.DUMMYFUNCTION("""COMPUTED_VALUE"""),"International Conference on Image, Vision and Computing")</f>
        <v>International Conference on Image, Vision and Computing</v>
      </c>
      <c r="C328" s="2" t="str">
        <f>IFERROR(__xludf.DUMMYFUNCTION("""COMPUTED_VALUE"""),"Conferência Internacional sobre Imagem, Visão e Computação")</f>
        <v>Conferência Internacional sobre Imagem, Visão e Computação</v>
      </c>
    </row>
    <row r="329">
      <c r="A329" s="4" t="s">
        <v>160</v>
      </c>
      <c r="B329" s="2" t="str">
        <f>IFERROR(__xludf.DUMMYFUNCTION("""COMPUTED_VALUE"""),"IEEE International Conference on Knowledge Graph")</f>
        <v>IEEE International Conference on Knowledge Graph</v>
      </c>
      <c r="C329" s="2" t="str">
        <f>IFERROR(__xludf.DUMMYFUNCTION("""COMPUTED_VALUE"""),"Conferência Internacional IEEE sobre Grafos de Conhecimento")</f>
        <v>Conferência Internacional IEEE sobre Grafos de Conhecimento</v>
      </c>
    </row>
    <row r="330">
      <c r="A330" s="5"/>
      <c r="B330" s="2" t="str">
        <f>IFERROR(__xludf.DUMMYFUNCTION("""COMPUTED_VALUE"""),"International Conference on Interactive Collaborative Learning")</f>
        <v>International Conference on Interactive Collaborative Learning</v>
      </c>
      <c r="C330" s="2" t="str">
        <f>IFERROR(__xludf.DUMMYFUNCTION("""COMPUTED_VALUE"""),"Conferência Internacional sobre Aprendizagem Colaborativa Interativa")</f>
        <v>Conferência Internacional sobre Aprendizagem Colaborativa Interativa</v>
      </c>
    </row>
    <row r="331">
      <c r="A331" s="4" t="s">
        <v>161</v>
      </c>
      <c r="B331" s="2" t="str">
        <f>IFERROR(__xludf.DUMMYFUNCTION("""COMPUTED_VALUE"""),"International Conference on Learning Representations")</f>
        <v>International Conference on Learning Representations</v>
      </c>
      <c r="C331" s="2" t="str">
        <f>IFERROR(__xludf.DUMMYFUNCTION("""COMPUTED_VALUE"""),"Conferência Internacional sobre Representações de Aprendizagem")</f>
        <v>Conferência Internacional sobre Representações de Aprendizagem</v>
      </c>
    </row>
    <row r="332">
      <c r="A332" s="5"/>
      <c r="B332" s="2" t="str">
        <f>IFERROR(__xludf.DUMMYFUNCTION("""COMPUTED_VALUE"""),"International Computer Music Conference")</f>
        <v>International Computer Music Conference</v>
      </c>
      <c r="C332" s="2" t="str">
        <f>IFERROR(__xludf.DUMMYFUNCTION("""COMPUTED_VALUE"""),"Conferência Internacional de Música Computacional")</f>
        <v>Conferência Internacional de Música Computacional</v>
      </c>
    </row>
    <row r="333">
      <c r="A333" s="4" t="s">
        <v>162</v>
      </c>
      <c r="B333" s="2" t="str">
        <f>IFERROR(__xludf.DUMMYFUNCTION("""COMPUTED_VALUE"""),"IEEE International Conference on Multimedia and Expo Companion")</f>
        <v>IEEE International Conference on Multimedia and Expo Companion</v>
      </c>
      <c r="C333" s="2" t="str">
        <f>IFERROR(__xludf.DUMMYFUNCTION("""COMPUTED_VALUE"""),"Conferência Internacional IEEE sobre Multimídia e Exposição (Complementar)")</f>
        <v>Conferência Internacional IEEE sobre Multimídia e Exposição (Complementar)</v>
      </c>
    </row>
    <row r="334">
      <c r="A334" s="5"/>
      <c r="B334" s="2" t="str">
        <f>IFERROR(__xludf.DUMMYFUNCTION("""COMPUTED_VALUE"""),"International Conference on Machine Learning")</f>
        <v>International Conference on Machine Learning</v>
      </c>
      <c r="C334" s="2" t="str">
        <f>IFERROR(__xludf.DUMMYFUNCTION("""COMPUTED_VALUE"""),"Conferência Internacional sobre Aprendizado de Máquina")</f>
        <v>Conferência Internacional sobre Aprendizado de Máquina</v>
      </c>
    </row>
    <row r="335">
      <c r="A335" s="4" t="s">
        <v>163</v>
      </c>
      <c r="B335" s="2" t="str">
        <f>IFERROR(__xludf.DUMMYFUNCTION("""COMPUTED_VALUE"""),"IEEE International Conference on Machine Learning and Applications")</f>
        <v>IEEE International Conference on Machine Learning and Applications</v>
      </c>
      <c r="C335" s="2" t="str">
        <f>IFERROR(__xludf.DUMMYFUNCTION("""COMPUTED_VALUE"""),"Conferência Internacional IEEE sobre Aprendizado de Máquina e Aplicações")</f>
        <v>Conferência Internacional IEEE sobre Aprendizado de Máquina e Aplicações</v>
      </c>
    </row>
    <row r="336">
      <c r="A336" s="5"/>
      <c r="B336" s="2" t="str">
        <f>IFERROR(__xludf.DUMMYFUNCTION("""COMPUTED_VALUE"""),"International Conference on Machine Learning and Computing")</f>
        <v>International Conference on Machine Learning and Computing</v>
      </c>
      <c r="C336" s="2" t="str">
        <f>IFERROR(__xludf.DUMMYFUNCTION("""COMPUTED_VALUE"""),"Conferência Internacional sobre Aprendizado de Máquina e Computação")</f>
        <v>Conferência Internacional sobre Aprendizado de Máquina e Computação</v>
      </c>
    </row>
    <row r="337">
      <c r="A337" s="4" t="s">
        <v>164</v>
      </c>
      <c r="B337" s="2" t="str">
        <f>IFERROR(__xludf.DUMMYFUNCTION("""COMPUTED_VALUE"""),"ACM International Conference on Multimedia Retrieval")</f>
        <v>ACM International Conference on Multimedia Retrieval</v>
      </c>
      <c r="C337" s="2" t="str">
        <f>IFERROR(__xludf.DUMMYFUNCTION("""COMPUTED_VALUE"""),"Conferência Internacional ACM sobre Recuperação Multimídia")</f>
        <v>Conferência Internacional ACM sobre Recuperação Multimídia</v>
      </c>
    </row>
    <row r="338">
      <c r="A338" s="5"/>
      <c r="B338" s="2" t="str">
        <f>IFERROR(__xludf.DUMMYFUNCTION("""COMPUTED_VALUE"""),"International Conference on Computing, Networking and Communications")</f>
        <v>International Conference on Computing, Networking and Communications</v>
      </c>
      <c r="C338" s="2" t="str">
        <f>IFERROR(__xludf.DUMMYFUNCTION("""COMPUTED_VALUE"""),"Conferência Internacional sobre Computação, Redes e Comunicações")</f>
        <v>Conferência Internacional sobre Computação, Redes e Comunicações</v>
      </c>
    </row>
    <row r="339">
      <c r="A339" s="4" t="s">
        <v>165</v>
      </c>
      <c r="B339" s="2" t="str">
        <f>IFERROR(__xludf.DUMMYFUNCTION("""COMPUTED_VALUE"""),"IEEE International Conference on Networking, Sensing and Control")</f>
        <v>IEEE International Conference on Networking, Sensing and Control</v>
      </c>
      <c r="C339" s="2" t="str">
        <f>IFERROR(__xludf.DUMMYFUNCTION("""COMPUTED_VALUE"""),"Conferência Internacional IEEE sobre Redes, Sensores e Controle")</f>
        <v>Conferência Internacional IEEE sobre Redes, Sensores e Controle</v>
      </c>
    </row>
    <row r="340">
      <c r="A340" s="5"/>
      <c r="B340" s="2" t="str">
        <f>IFERROR(__xludf.DUMMYFUNCTION("""COMPUTED_VALUE"""),"International Conference on Information Networking")</f>
        <v>International Conference on Information Networking</v>
      </c>
      <c r="C340" s="2" t="str">
        <f>IFERROR(__xludf.DUMMYFUNCTION("""COMPUTED_VALUE"""),"Conferência Internacional sobre Redes de Informação")</f>
        <v>Conferência Internacional sobre Redes de Informação</v>
      </c>
    </row>
    <row r="341">
      <c r="A341" s="4" t="s">
        <v>166</v>
      </c>
      <c r="B341" s="2" t="str">
        <f>IFERROR(__xludf.DUMMYFUNCTION("""COMPUTED_VALUE"""),"International Conference on Internet Computing and Internet of Things")</f>
        <v>International Conference on Internet Computing and Internet of Things</v>
      </c>
      <c r="C341" s="2" t="str">
        <f>IFERROR(__xludf.DUMMYFUNCTION("""COMPUTED_VALUE"""),"Conferência Internacional sobre Computação na Internet e Internet das Coisas")</f>
        <v>Conferência Internacional sobre Computação na Internet e Internet das Coisas</v>
      </c>
    </row>
    <row r="342">
      <c r="A342" s="5"/>
      <c r="B342" s="2" t="str">
        <f>IFERROR(__xludf.DUMMYFUNCTION("""COMPUTED_VALUE"""),"International Conference on Neural Information Processing")</f>
        <v>International Conference on Neural Information Processing</v>
      </c>
      <c r="C342" s="2" t="str">
        <f>IFERROR(__xludf.DUMMYFUNCTION("""COMPUTED_VALUE"""),"Conferência Internacional sobre Processamento de Informação Neural")</f>
        <v>Conferência Internacional sobre Processamento de Informação Neural</v>
      </c>
    </row>
    <row r="343">
      <c r="A343" s="4" t="s">
        <v>167</v>
      </c>
      <c r="B343" s="2" t="str">
        <f>IFERROR(__xludf.DUMMYFUNCTION("""COMPUTED_VALUE"""),"International Conference on Parallel and Distributed Systems")</f>
        <v>International Conference on Parallel and Distributed Systems</v>
      </c>
      <c r="C343" s="2" t="str">
        <f>IFERROR(__xludf.DUMMYFUNCTION("""COMPUTED_VALUE"""),"Conferência Internacional sobre Sistemas Paralelos e Distribuídos")</f>
        <v>Conferência Internacional sobre Sistemas Paralelos e Distribuídos</v>
      </c>
    </row>
    <row r="344">
      <c r="A344" s="5"/>
      <c r="B344" s="2" t="str">
        <f>IFERROR(__xludf.DUMMYFUNCTION("""COMPUTED_VALUE"""),"International Conference on Program Comprehension")</f>
        <v>International Conference on Program Comprehension</v>
      </c>
      <c r="C344" s="2" t="str">
        <f>IFERROR(__xludf.DUMMYFUNCTION("""COMPUTED_VALUE"""),"Conferência Internacional sobre Compreensão de Programas")</f>
        <v>Conferência Internacional sobre Compreensão de Programas</v>
      </c>
    </row>
    <row r="345">
      <c r="A345" s="4" t="s">
        <v>168</v>
      </c>
      <c r="B345" s="2" t="str">
        <f>IFERROR(__xludf.DUMMYFUNCTION("""COMPUTED_VALUE"""),"International Conference on Performance Engineering")</f>
        <v>International Conference on Performance Engineering</v>
      </c>
      <c r="C345" s="2" t="str">
        <f>IFERROR(__xludf.DUMMYFUNCTION("""COMPUTED_VALUE"""),"Conferência Internacional sobre Engenharia de Desempenho")</f>
        <v>Conferência Internacional sobre Engenharia de Desempenho</v>
      </c>
    </row>
    <row r="346">
      <c r="A346" s="5"/>
      <c r="B346" s="2" t="str">
        <f>IFERROR(__xludf.DUMMYFUNCTION("""COMPUTED_VALUE"""),"International Conference on Parallel Processing")</f>
        <v>International Conference on Parallel Processing</v>
      </c>
      <c r="C346" s="2" t="str">
        <f>IFERROR(__xludf.DUMMYFUNCTION("""COMPUTED_VALUE"""),"Conferência Internacional sobre Processamento Paralelo")</f>
        <v>Conferência Internacional sobre Processamento Paralelo</v>
      </c>
    </row>
    <row r="347">
      <c r="A347" s="4" t="s">
        <v>169</v>
      </c>
      <c r="B347" s="2" t="str">
        <f>IFERROR(__xludf.DUMMYFUNCTION("""COMPUTED_VALUE"""),"International Conference on Pattern Recognition")</f>
        <v>International Conference on Pattern Recognition</v>
      </c>
      <c r="C347" s="2" t="str">
        <f>IFERROR(__xludf.DUMMYFUNCTION("""COMPUTED_VALUE"""),"Conferência Internacional sobre Reconhecimento de Padrões")</f>
        <v>Conferência Internacional sobre Reconhecimento de Padrões</v>
      </c>
    </row>
    <row r="348">
      <c r="A348" s="5"/>
      <c r="B348" s="2" t="str">
        <f>IFERROR(__xludf.DUMMYFUNCTION("""COMPUTED_VALUE"""),"International Conference on Pattern Recognition Applications and Methods")</f>
        <v>International Conference on Pattern Recognition Applications and Methods</v>
      </c>
      <c r="C348" s="2" t="str">
        <f>IFERROR(__xludf.DUMMYFUNCTION("""COMPUTED_VALUE"""),"Conferência Internacional sobre Aplicações e Métodos de Reconhecimento de Padrões")</f>
        <v>Conferência Internacional sobre Aplicações e Métodos de Reconhecimento de Padrões</v>
      </c>
    </row>
    <row r="349">
      <c r="A349" s="4" t="s">
        <v>170</v>
      </c>
      <c r="B349" s="2" t="str">
        <f>IFERROR(__xludf.DUMMYFUNCTION("""COMPUTED_VALUE"""),"IEEE International Conference on Robotics and Automation")</f>
        <v>IEEE International Conference on Robotics and Automation</v>
      </c>
      <c r="C349" s="2" t="str">
        <f>IFERROR(__xludf.DUMMYFUNCTION("""COMPUTED_VALUE"""),"Conferência Internacional IEEE sobre Robótica e Automação")</f>
        <v>Conferência Internacional IEEE sobre Robótica e Automação</v>
      </c>
    </row>
    <row r="350">
      <c r="A350" s="5"/>
      <c r="B350" s="2" t="str">
        <f>IFERROR(__xludf.DUMMYFUNCTION("""COMPUTED_VALUE"""),"International Conference on Robotics and Automation Engineering")</f>
        <v>International Conference on Robotics and Automation Engineering</v>
      </c>
      <c r="C350" s="2" t="str">
        <f>IFERROR(__xludf.DUMMYFUNCTION("""COMPUTED_VALUE"""),"Conferência Internacional sobre Engenharia de Robótica e Automação")</f>
        <v>Conferência Internacional sobre Engenharia de Robótica e Automação</v>
      </c>
    </row>
    <row r="351">
      <c r="A351" s="4" t="s">
        <v>171</v>
      </c>
      <c r="B351" s="2" t="str">
        <f>IFERROR(__xludf.DUMMYFUNCTION("""COMPUTED_VALUE"""),"International Conference on Supercomputing")</f>
        <v>International Conference on Supercomputing</v>
      </c>
      <c r="C351" s="2" t="str">
        <f>IFERROR(__xludf.DUMMYFUNCTION("""COMPUTED_VALUE"""),"Conferência Internacional sobre Supercomputação")</f>
        <v>Conferência Internacional sobre Supercomputação</v>
      </c>
    </row>
    <row r="352">
      <c r="A352" s="5"/>
      <c r="B352" s="2" t="str">
        <f>IFERROR(__xludf.DUMMYFUNCTION("""COMPUTED_VALUE"""),"International Conference on Software Architecture")</f>
        <v>International Conference on Software Architecture</v>
      </c>
      <c r="C352" s="2" t="str">
        <f>IFERROR(__xludf.DUMMYFUNCTION("""COMPUTED_VALUE"""),"Conferência Internacional sobre Arquitetura de Software")</f>
        <v>Conferência Internacional sobre Arquitetura de Software</v>
      </c>
    </row>
    <row r="353">
      <c r="A353" s="4" t="s">
        <v>172</v>
      </c>
      <c r="B353" s="2" t="str">
        <f>IFERROR(__xludf.DUMMYFUNCTION("""COMPUTED_VALUE"""),"International Conference on Semantic Computing")</f>
        <v>International Conference on Semantic Computing</v>
      </c>
      <c r="C353" s="2" t="str">
        <f>IFERROR(__xludf.DUMMYFUNCTION("""COMPUTED_VALUE"""),"Conferência Internacional sobre Computação Semântica")</f>
        <v>Conferência Internacional sobre Computação Semântica</v>
      </c>
    </row>
    <row r="354">
      <c r="A354" s="5"/>
      <c r="B354" s="2" t="str">
        <f>IFERROR(__xludf.DUMMYFUNCTION("""COMPUTED_VALUE"""),"International Conference on Software Engineering")</f>
        <v>International Conference on Software Engineering</v>
      </c>
      <c r="C354" s="2" t="str">
        <f>IFERROR(__xludf.DUMMYFUNCTION("""COMPUTED_VALUE"""),"Conferência Internacional sobre Engenharia de Software")</f>
        <v>Conferência Internacional sobre Engenharia de Software</v>
      </c>
    </row>
    <row r="355">
      <c r="A355" s="4" t="s">
        <v>173</v>
      </c>
      <c r="B355" s="2" t="str">
        <f>IFERROR(__xludf.DUMMYFUNCTION("""COMPUTED_VALUE"""),"International Conference on Software Engineering Companion")</f>
        <v>International Conference on Software Engineering Companion</v>
      </c>
      <c r="C355" s="2" t="str">
        <f>IFERROR(__xludf.DUMMYFUNCTION("""COMPUTED_VALUE"""),"Conferência Internacional sobre Engenharia de Software (Complementar)")</f>
        <v>Conferência Internacional sobre Engenharia de Software (Complementar)</v>
      </c>
    </row>
    <row r="356">
      <c r="A356" s="5"/>
      <c r="B356" s="2" t="str">
        <f>IFERROR(__xludf.DUMMYFUNCTION("""COMPUTED_VALUE"""),"ACM International Conference on Software Engineering: New Ideas and Emerging Results")</f>
        <v>ACM International Conference on Software Engineering: New Ideas and Emerging Results</v>
      </c>
      <c r="C356" s="2" t="str">
        <f>IFERROR(__xludf.DUMMYFUNCTION("""COMPUTED_VALUE"""),"Conferência Internacional ACM sobre Engenharia de Software: Novas Ideias e Resultados Emergentes")</f>
        <v>Conferência Internacional ACM sobre Engenharia de Software: Novas Ideias e Resultados Emergentes</v>
      </c>
    </row>
    <row r="357">
      <c r="A357" s="4" t="s">
        <v>174</v>
      </c>
      <c r="B357" s="2" t="str">
        <f>IFERROR(__xludf.DUMMYFUNCTION("""COMPUTED_VALUE"""),"ACM International Conference on Software Engineering: Software Engineering Education and Training")</f>
        <v>ACM International Conference on Software Engineering: Software Engineering Education and Training</v>
      </c>
      <c r="C357" s="2" t="str">
        <f>IFERROR(__xludf.DUMMYFUNCTION("""COMPUTED_VALUE"""),"Conferência Internacional ACM sobre Engenharia de Software: Educação e Treinamento em Engenharia de Software")</f>
        <v>Conferência Internacional ACM sobre Engenharia de Software: Educação e Treinamento em Engenharia de Software</v>
      </c>
    </row>
    <row r="358">
      <c r="A358" s="5"/>
      <c r="B358" s="2" t="str">
        <f>IFERROR(__xludf.DUMMYFUNCTION("""COMPUTED_VALUE"""),"ACM International Conference on Software Engineering: Software Engineering in Practice")</f>
        <v>ACM International Conference on Software Engineering: Software Engineering in Practice</v>
      </c>
      <c r="C358" s="2" t="str">
        <f>IFERROR(__xludf.DUMMYFUNCTION("""COMPUTED_VALUE"""),"Conferência Internacional ACM sobre Engenharia de Software: Engenharia de Software na Prática")</f>
        <v>Conferência Internacional ACM sobre Engenharia de Software: Engenharia de Software na Prática</v>
      </c>
    </row>
    <row r="359">
      <c r="A359" s="4" t="s">
        <v>175</v>
      </c>
      <c r="B359" s="2" t="str">
        <f>IFERROR(__xludf.DUMMYFUNCTION("""COMPUTED_VALUE"""),"International Conference on Software Engineering: Software Engineering in Society")</f>
        <v>International Conference on Software Engineering: Software Engineering in Society</v>
      </c>
      <c r="C359" s="2" t="str">
        <f>IFERROR(__xludf.DUMMYFUNCTION("""COMPUTED_VALUE"""),"Conferência Internacional sobre Engenharia de Software: Engenharia de Software na Sociedade")</f>
        <v>Conferência Internacional sobre Engenharia de Software: Engenharia de Software na Sociedade</v>
      </c>
    </row>
    <row r="360">
      <c r="A360" s="5"/>
      <c r="B360" s="2" t="str">
        <f>IFERROR(__xludf.DUMMYFUNCTION("""COMPUTED_VALUE"""),"International Conference on Software Engineering and Service Science")</f>
        <v>International Conference on Software Engineering and Service Science</v>
      </c>
      <c r="C360" s="2" t="str">
        <f>IFERROR(__xludf.DUMMYFUNCTION("""COMPUTED_VALUE"""),"Conferência Internacional sobre Engenharia de Software e Ciência de Serviços")</f>
        <v>Conferência Internacional sobre Engenharia de Software e Ciência de Serviços</v>
      </c>
    </row>
    <row r="361">
      <c r="A361" s="4" t="s">
        <v>176</v>
      </c>
      <c r="B361" s="2" t="str">
        <f>IFERROR(__xludf.DUMMYFUNCTION("""COMPUTED_VALUE"""),"International Conference on Swarm Intelligence")</f>
        <v>International Conference on Swarm Intelligence</v>
      </c>
      <c r="C361" s="2" t="str">
        <f>IFERROR(__xludf.DUMMYFUNCTION("""COMPUTED_VALUE"""),"Conferência Internacional sobre Inteligência de Enxame")</f>
        <v>Conferência Internacional sobre Inteligência de Enxame</v>
      </c>
    </row>
    <row r="362">
      <c r="A362" s="5"/>
      <c r="B362" s="2" t="str">
        <f>IFERROR(__xludf.DUMMYFUNCTION("""COMPUTED_VALUE"""),"IEEE International Conference on Software Maintenance and Evolution")</f>
        <v>IEEE International Conference on Software Maintenance and Evolution</v>
      </c>
      <c r="C362" s="2" t="str">
        <f>IFERROR(__xludf.DUMMYFUNCTION("""COMPUTED_VALUE"""),"Conferência Internacional IEEE sobre Manutenção e Evolução de Software")</f>
        <v>Conferência Internacional IEEE sobre Manutenção e Evolução de Software</v>
      </c>
    </row>
    <row r="363">
      <c r="A363" s="4" t="s">
        <v>177</v>
      </c>
      <c r="B363" s="2" t="str">
        <f>IFERROR(__xludf.DUMMYFUNCTION("""COMPUTED_VALUE"""),"International Conference on Software Business")</f>
        <v>International Conference on Software Business</v>
      </c>
      <c r="C363" s="2" t="str">
        <f>IFERROR(__xludf.DUMMYFUNCTION("""COMPUTED_VALUE"""),"Conferência Internacional sobre Negócios de Software")</f>
        <v>Conferência Internacional sobre Negócios de Software</v>
      </c>
    </row>
    <row r="364">
      <c r="A364" s="5"/>
      <c r="B364" s="2" t="str">
        <f>IFERROR(__xludf.DUMMYFUNCTION("""COMPUTED_VALUE"""),"International Conference on Software Technologies")</f>
        <v>International Conference on Software Technologies</v>
      </c>
      <c r="C364" s="2" t="str">
        <f>IFERROR(__xludf.DUMMYFUNCTION("""COMPUTED_VALUE"""),"Conferência Internacional sobre Tecnologias de Software")</f>
        <v>Conferência Internacional sobre Tecnologias de Software</v>
      </c>
    </row>
    <row r="365">
      <c r="A365" s="4" t="s">
        <v>178</v>
      </c>
      <c r="B365" s="2" t="str">
        <f>IFERROR(__xludf.DUMMYFUNCTION("""COMPUTED_VALUE"""),"International Conference on Software and Systems Process")</f>
        <v>International Conference on Software and Systems Process</v>
      </c>
      <c r="C365" s="2" t="str">
        <f>IFERROR(__xludf.DUMMYFUNCTION("""COMPUTED_VALUE"""),"Conferência Internacional sobre Processo de Software e Sistemas")</f>
        <v>Conferência Internacional sobre Processo de Software e Sistemas</v>
      </c>
    </row>
    <row r="366">
      <c r="A366" s="5"/>
      <c r="B366" s="2" t="str">
        <f>IFERROR(__xludf.DUMMYFUNCTION("""COMPUTED_VALUE"""),"IEEE International Conference on Software Testing, Verification and Validation")</f>
        <v>IEEE International Conference on Software Testing, Verification and Validation</v>
      </c>
      <c r="C366" s="2" t="str">
        <f>IFERROR(__xludf.DUMMYFUNCTION("""COMPUTED_VALUE"""),"Conferência Internacional IEEE sobre Testes, Verificação e Validação de Software")</f>
        <v>Conferência Internacional IEEE sobre Testes, Verificação e Validação de Software</v>
      </c>
    </row>
    <row r="367">
      <c r="A367" s="4" t="s">
        <v>179</v>
      </c>
      <c r="B367" s="2" t="str">
        <f>IFERROR(__xludf.DUMMYFUNCTION("""COMPUTED_VALUE"""),"International Conference on Telecommunications")</f>
        <v>International Conference on Telecommunications</v>
      </c>
      <c r="C367" s="2" t="str">
        <f>IFERROR(__xludf.DUMMYFUNCTION("""COMPUTED_VALUE"""),"Conferência Internacional sobre Telecomunicações")</f>
        <v>Conferência Internacional sobre Telecomunicações</v>
      </c>
    </row>
    <row r="368">
      <c r="A368" s="5"/>
      <c r="B368" s="2" t="str">
        <f>IFERROR(__xludf.DUMMYFUNCTION("""COMPUTED_VALUE"""),"International Colloquium on Theoretical Aspects of Computing")</f>
        <v>International Colloquium on Theoretical Aspects of Computing</v>
      </c>
      <c r="C368" s="2" t="str">
        <f>IFERROR(__xludf.DUMMYFUNCTION("""COMPUTED_VALUE"""),"Colóquio Internacional sobre Aspectos Teóricos da Computação")</f>
        <v>Colóquio Internacional sobre Aspectos Teóricos da Computação</v>
      </c>
    </row>
    <row r="369">
      <c r="A369" s="4" t="s">
        <v>180</v>
      </c>
      <c r="B369" s="2" t="str">
        <f>IFERROR(__xludf.DUMMYFUNCTION("""COMPUTED_VALUE"""),"IEEE International Conference on Tools with Artificial Intelligence")</f>
        <v>IEEE International Conference on Tools with Artificial Intelligence</v>
      </c>
      <c r="C369" s="2" t="str">
        <f>IFERROR(__xludf.DUMMYFUNCTION("""COMPUTED_VALUE"""),"Conferência Internacional IEEE sobre Ferramentas com Inteligência Artificial")</f>
        <v>Conferência Internacional IEEE sobre Ferramentas com Inteligência Artificial</v>
      </c>
    </row>
    <row r="370">
      <c r="A370" s="5"/>
      <c r="B370" s="2" t="str">
        <f>IFERROR(__xludf.DUMMYFUNCTION("""COMPUTED_VALUE"""),"International Conference on Information &amp; Communication Technologies and Development")</f>
        <v>International Conference on Information &amp; Communication Technologies and Development</v>
      </c>
      <c r="C370" s="2" t="str">
        <f>IFERROR(__xludf.DUMMYFUNCTION("""COMPUTED_VALUE"""),"Conferência Internacional sobre Tecnologias de Informação e Comunicação e Desenvolvimento")</f>
        <v>Conferência Internacional sobre Tecnologias de Informação e Comunicação e Desenvolvimento</v>
      </c>
    </row>
    <row r="371">
      <c r="A371" s="4" t="s">
        <v>181</v>
      </c>
      <c r="B371" s="2" t="str">
        <f>IFERROR(__xludf.DUMMYFUNCTION("""COMPUTED_VALUE"""),"Conference on the Theory of Information Retrieval")</f>
        <v>Conference on the Theory of Information Retrieval</v>
      </c>
      <c r="C371" s="2" t="str">
        <f>IFERROR(__xludf.DUMMYFUNCTION("""COMPUTED_VALUE"""),"Conferência sobre a Teoria de Recuperação de Informação")</f>
        <v>Conferência sobre a Teoria de Recuperação de Informação</v>
      </c>
    </row>
    <row r="372">
      <c r="A372" s="5"/>
      <c r="B372" s="2" t="str">
        <f>IFERROR(__xludf.DUMMYFUNCTION("""COMPUTED_VALUE"""),"International Conference on Transparent Optical Networks")</f>
        <v>International Conference on Transparent Optical Networks</v>
      </c>
      <c r="C372" s="2" t="str">
        <f>IFERROR(__xludf.DUMMYFUNCTION("""COMPUTED_VALUE"""),"Conferência Internacional sobre Redes Ópticas Transparentes")</f>
        <v>Conferência Internacional sobre Redes Ópticas Transparentes</v>
      </c>
    </row>
    <row r="373">
      <c r="A373" s="4" t="s">
        <v>182</v>
      </c>
      <c r="B373" s="2" t="str">
        <f>IFERROR(__xludf.DUMMYFUNCTION("""COMPUTED_VALUE"""),"IFIP International Conference on Testing Software and Systems")</f>
        <v>IFIP International Conference on Testing Software and Systems</v>
      </c>
      <c r="C373" s="2" t="str">
        <f>IFERROR(__xludf.DUMMYFUNCTION("""COMPUTED_VALUE"""),"Conferência Internacional IFIP sobre Testes de Software e Sistemas")</f>
        <v>Conferência Internacional IFIP sobre Testes de Software e Sistemas</v>
      </c>
    </row>
    <row r="374">
      <c r="A374" s="5"/>
      <c r="B374" s="2" t="str">
        <f>IFERROR(__xludf.DUMMYFUNCTION("""COMPUTED_VALUE"""),"International Conference on Unmanned Aircraft Systems")</f>
        <v>International Conference on Unmanned Aircraft Systems</v>
      </c>
      <c r="C374" s="2" t="str">
        <f>IFERROR(__xludf.DUMMYFUNCTION("""COMPUTED_VALUE"""),"Conferência Internacional sobre Sistemas de Aeronaves Não Tripuladas")</f>
        <v>Conferência Internacional sobre Sistemas de Aeronaves Não Tripuladas</v>
      </c>
    </row>
    <row r="375">
      <c r="A375" s="4" t="s">
        <v>183</v>
      </c>
      <c r="B375" s="2" t="str">
        <f>IFERROR(__xludf.DUMMYFUNCTION("""COMPUTED_VALUE"""),"International Conference on Ultra Modern Telecommunications")</f>
        <v>International Conference on Ultra Modern Telecommunications</v>
      </c>
      <c r="C375" s="2" t="str">
        <f>IFERROR(__xludf.DUMMYFUNCTION("""COMPUTED_VALUE"""),"Conferência Internacional sobre Telecomunicações Ultra Modernas")</f>
        <v>Conferência Internacional sobre Telecomunicações Ultra Modernas</v>
      </c>
    </row>
    <row r="376">
      <c r="A376" s="5"/>
      <c r="B376" s="2" t="str">
        <f>IFERROR(__xludf.DUMMYFUNCTION("""COMPUTED_VALUE"""),"International Conference on Wireless Networks")</f>
        <v>International Conference on Wireless Networks</v>
      </c>
      <c r="C376" s="2" t="str">
        <f>IFERROR(__xludf.DUMMYFUNCTION("""COMPUTED_VALUE"""),"Conferência Internacional sobre Redes Sem Fio")</f>
        <v>Conferência Internacional sobre Redes Sem Fio</v>
      </c>
    </row>
    <row r="377">
      <c r="A377" s="4" t="s">
        <v>184</v>
      </c>
      <c r="B377" s="2" t="str">
        <f>IFERROR(__xludf.DUMMYFUNCTION("""COMPUTED_VALUE"""),"International AAAI Conference on Web and Social Media")</f>
        <v>International AAAI Conference on Web and Social Media</v>
      </c>
      <c r="C377" s="2" t="str">
        <f>IFERROR(__xludf.DUMMYFUNCTION("""COMPUTED_VALUE"""),"Conferência Internacional AAAI sobre Web e Mídia Social")</f>
        <v>Conferência Internacional AAAI sobre Web e Mídia Social</v>
      </c>
    </row>
    <row r="378">
      <c r="A378" s="5"/>
      <c r="B378" s="2" t="str">
        <f>IFERROR(__xludf.DUMMYFUNCTION("""COMPUTED_VALUE"""),"International Symposium on Intelligent Data Analysis")</f>
        <v>International Symposium on Intelligent Data Analysis</v>
      </c>
      <c r="C378" s="2" t="str">
        <f>IFERROR(__xludf.DUMMYFUNCTION("""COMPUTED_VALUE"""),"Simpósio Internacional sobre Análise Inteligente de Dados")</f>
        <v>Simpósio Internacional sobre Análise Inteligente de Dados</v>
      </c>
    </row>
    <row r="379">
      <c r="A379" s="4" t="s">
        <v>185</v>
      </c>
      <c r="B379" s="2" t="str">
        <f>IFERROR(__xludf.DUMMYFUNCTION("""COMPUTED_VALUE"""),"International Conference on Intelligent Data Engineering and Automated Learning")</f>
        <v>International Conference on Intelligent Data Engineering and Automated Learning</v>
      </c>
      <c r="C379" s="2" t="str">
        <f>IFERROR(__xludf.DUMMYFUNCTION("""COMPUTED_VALUE"""),"Conferência Internacional sobre Engenharia de Dados Inteligente e Aprendizado Automatizado")</f>
        <v>Conferência Internacional sobre Engenharia de Dados Inteligente e Aprendizado Automatizado</v>
      </c>
    </row>
    <row r="380">
      <c r="A380" s="5"/>
      <c r="B380" s="2" t="str">
        <f>IFERROR(__xludf.DUMMYFUNCTION("""COMPUTED_VALUE"""),"International Database Engineering and Applications Symposium")</f>
        <v>International Database Engineering and Applications Symposium</v>
      </c>
      <c r="C380" s="2" t="str">
        <f>IFERROR(__xludf.DUMMYFUNCTION("""COMPUTED_VALUE"""),"Simpósio Internacional de Engenharia e Aplicações de Banco de Dados")</f>
        <v>Simpósio Internacional de Engenharia e Aplicações de Banco de Dados</v>
      </c>
    </row>
    <row r="381">
      <c r="A381" s="4" t="s">
        <v>186</v>
      </c>
      <c r="B381" s="2" t="str">
        <f>IFERROR(__xludf.DUMMYFUNCTION("""COMPUTED_VALUE"""),"Annual Conference of the IEEE Industrial Electronics Society")</f>
        <v>Annual Conference of the IEEE Industrial Electronics Society</v>
      </c>
      <c r="C381" s="2" t="str">
        <f>IFERROR(__xludf.DUMMYFUNCTION("""COMPUTED_VALUE"""),"Conferência Anual da Sociedade de Eletrônica Industrial IEEE")</f>
        <v>Conferência Anual da Sociedade de Eletrônica Industrial IEEE</v>
      </c>
    </row>
    <row r="382">
      <c r="A382" s="5"/>
      <c r="B382" s="2" t="str">
        <f>IFERROR(__xludf.DUMMYFUNCTION("""COMPUTED_VALUE"""),"IEEE International Conference on Imaging Systems and Techniques")</f>
        <v>IEEE International Conference on Imaging Systems and Techniques</v>
      </c>
      <c r="C382" s="2" t="str">
        <f>IFERROR(__xludf.DUMMYFUNCTION("""COMPUTED_VALUE"""),"Conferência Internacional IEEE sobre Sistemas e Técnicas de Imagem")</f>
        <v>Conferência Internacional IEEE sobre Sistemas e Técnicas de Imagem</v>
      </c>
    </row>
    <row r="383">
      <c r="A383" s="4" t="s">
        <v>187</v>
      </c>
      <c r="B383" s="2" t="str">
        <f>IFERROR(__xludf.DUMMYFUNCTION("""COMPUTED_VALUE"""),"IEEE Cloud Summit")</f>
        <v>IEEE Cloud Summit</v>
      </c>
      <c r="C383" s="2" t="str">
        <f>IFERROR(__xludf.DUMMYFUNCTION("""COMPUTED_VALUE"""),"Cúpula de Nuvem IEEE")</f>
        <v>Cúpula de Nuvem IEEE</v>
      </c>
    </row>
    <row r="384">
      <c r="A384" s="5"/>
      <c r="B384" s="2" t="str">
        <f>IFERROR(__xludf.DUMMYFUNCTION("""COMPUTED_VALUE"""),"IEEE Conference on Nanotechnology")</f>
        <v>IEEE Conference on Nanotechnology</v>
      </c>
      <c r="C384" s="2" t="str">
        <f>IFERROR(__xludf.DUMMYFUNCTION("""COMPUTED_VALUE"""),"Conferência IEEE sobre Nanotecnologia")</f>
        <v>Conferência IEEE sobre Nanotecnologia</v>
      </c>
    </row>
    <row r="385">
      <c r="A385" s="4" t="s">
        <v>188</v>
      </c>
      <c r="B385" s="2" t="str">
        <f>IFERROR(__xludf.DUMMYFUNCTION("""COMPUTED_VALUE"""),"IEEE International Conference on Services Computing")</f>
        <v>IEEE International Conference on Services Computing</v>
      </c>
      <c r="C385" s="2" t="str">
        <f>IFERROR(__xludf.DUMMYFUNCTION("""COMPUTED_VALUE"""),"Conferência Internacional IEEE sobre Computação de Serviços")</f>
        <v>Conferência Internacional IEEE sobre Computação de Serviços</v>
      </c>
    </row>
    <row r="386">
      <c r="A386" s="5"/>
      <c r="B386" s="2" t="str">
        <f>IFERROR(__xludf.DUMMYFUNCTION("""COMPUTED_VALUE"""),"IFIP International Embedded Systems Symposium")</f>
        <v>IFIP International Embedded Systems Symposium</v>
      </c>
      <c r="C386" s="2" t="str">
        <f>IFERROR(__xludf.DUMMYFUNCTION("""COMPUTED_VALUE"""),"Simpósio Internacional IFIP de Sistemas Embarcados")</f>
        <v>Simpósio Internacional IFIP de Sistemas Embarcados</v>
      </c>
    </row>
    <row r="387">
      <c r="A387" s="4" t="s">
        <v>189</v>
      </c>
      <c r="B387" s="2" t="str">
        <f>IFERROR(__xludf.DUMMYFUNCTION("""COMPUTED_VALUE"""),"World Congress of the International Federation of Automatic Control")</f>
        <v>World Congress of the International Federation of Automatic Control</v>
      </c>
      <c r="C387" s="2" t="str">
        <f>IFERROR(__xludf.DUMMYFUNCTION("""COMPUTED_VALUE"""),"Congresso Mundial da Federação Internacional de Controle Automático")</f>
        <v>Congresso Mundial da Federação Internacional de Controle Automático</v>
      </c>
    </row>
    <row r="388">
      <c r="A388" s="5"/>
      <c r="B388" s="2" t="str">
        <f>IFERROR(__xludf.DUMMYFUNCTION("""COMPUTED_VALUE"""),"World Congress of International Fuzzy Systems Association")</f>
        <v>World Congress of International Fuzzy Systems Association</v>
      </c>
      <c r="C388" s="2" t="str">
        <f>IFERROR(__xludf.DUMMYFUNCTION("""COMPUTED_VALUE"""),"Congresso Mundial da Associação Internacional de Sistemas Fuzzy")</f>
        <v>Congresso Mundial da Associação Internacional de Sistemas Fuzzy</v>
      </c>
    </row>
    <row r="389">
      <c r="A389" s="4" t="s">
        <v>190</v>
      </c>
      <c r="B389" s="2" t="str">
        <f>IFERROR(__xludf.DUMMYFUNCTION("""COMPUTED_VALUE"""),"IEEE International Geoscience and Remote Sensing Symposium")</f>
        <v>IEEE International Geoscience and Remote Sensing Symposium</v>
      </c>
      <c r="C389" s="2" t="str">
        <f>IFERROR(__xludf.DUMMYFUNCTION("""COMPUTED_VALUE"""),"Simpósio Internacional IEEE de Geociência e Sensoriamento Remoto")</f>
        <v>Simpósio Internacional IEEE de Geociência e Sensoriamento Remoto</v>
      </c>
    </row>
    <row r="390">
      <c r="A390" s="5"/>
      <c r="B390" s="2" t="str">
        <f>IFERROR(__xludf.DUMMYFUNCTION("""COMPUTED_VALUE"""),"Simpósio Brasileiro sobre Fatores Humanos em Sistemas Computacionais")</f>
        <v>Simpósio Brasileiro sobre Fatores Humanos em Sistemas Computacionais</v>
      </c>
      <c r="C390" s="2" t="str">
        <f>IFERROR(__xludf.DUMMYFUNCTION("""COMPUTED_VALUE"""),"Brazilian Symposium on Human Factors in Computing Systems")</f>
        <v>Brazilian Symposium on Human Factors in Computing Systems</v>
      </c>
    </row>
    <row r="391">
      <c r="A391" s="4" t="s">
        <v>191</v>
      </c>
      <c r="B391" s="2" t="str">
        <f>IFERROR(__xludf.DUMMYFUNCTION("""COMPUTED_VALUE"""),"International Conference on Information, Intelligence, Systems and Applications")</f>
        <v>International Conference on Information, Intelligence, Systems and Applications</v>
      </c>
      <c r="C391" s="2" t="str">
        <f>IFERROR(__xludf.DUMMYFUNCTION("""COMPUTED_VALUE"""),"Conferência Internacional sobre Informação, Inteligência, Sistemas e Aplicações")</f>
        <v>Conferência Internacional sobre Informação, Inteligência, Sistemas e Aplicações</v>
      </c>
    </row>
    <row r="392">
      <c r="A392" s="5"/>
      <c r="B392" s="2" t="str">
        <f>IFERROR(__xludf.DUMMYFUNCTION("""COMPUTED_VALUE"""),"IEEE International Symposium on Workload Characterization")</f>
        <v>IEEE International Symposium on Workload Characterization</v>
      </c>
      <c r="C392" s="2" t="str">
        <f>IFERROR(__xludf.DUMMYFUNCTION("""COMPUTED_VALUE"""),"Simpósio Internacional IEEE sobre Caracterização de Carga de Trabalho")</f>
        <v>Simpósio Internacional IEEE sobre Caracterização de Carga de Trabalho</v>
      </c>
    </row>
    <row r="393">
      <c r="A393" s="4" t="s">
        <v>192</v>
      </c>
      <c r="B393" s="2" t="str">
        <f>IFERROR(__xludf.DUMMYFUNCTION("""COMPUTED_VALUE"""),"International Conference on Information Integration and Web-based Applications &amp; Services")</f>
        <v>International Conference on Information Integration and Web-based Applications &amp; Services</v>
      </c>
      <c r="C393" s="2" t="str">
        <f>IFERROR(__xludf.DUMMYFUNCTION("""COMPUTED_VALUE"""),"Conferência Internacional sobre Integração de Informação e Aplicações e Serviços Baseados na Web")</f>
        <v>Conferência Internacional sobre Integração de Informação e Aplicações e Serviços Baseados na Web</v>
      </c>
    </row>
    <row r="394">
      <c r="A394" s="5"/>
      <c r="B394" s="2" t="str">
        <f>IFERROR(__xludf.DUMMYFUNCTION("""COMPUTED_VALUE"""),"International Joint Conference on Artificial Intelligence")</f>
        <v>International Joint Conference on Artificial Intelligence</v>
      </c>
      <c r="C394" s="2" t="str">
        <f>IFERROR(__xludf.DUMMYFUNCTION("""COMPUTED_VALUE"""),"Conferência Internacional Conjunta sobre Inteligência Artificial")</f>
        <v>Conferência Internacional Conjunta sobre Inteligência Artificial</v>
      </c>
    </row>
    <row r="395">
      <c r="A395" s="4" t="s">
        <v>193</v>
      </c>
      <c r="B395" s="2" t="str">
        <f>IFERROR(__xludf.DUMMYFUNCTION("""COMPUTED_VALUE"""),"International Joint Conference on Automated Reasoning")</f>
        <v>International Joint Conference on Automated Reasoning</v>
      </c>
      <c r="C395" s="2" t="str">
        <f>IFERROR(__xludf.DUMMYFUNCTION("""COMPUTED_VALUE"""),"Conferência Internacional Conjunta sobre Raciocínio Automatizado")</f>
        <v>Conferência Internacional Conjunta sobre Raciocínio Automatizado</v>
      </c>
    </row>
    <row r="396">
      <c r="A396" s="5"/>
      <c r="B396" s="2" t="str">
        <f>IFERROR(__xludf.DUMMYFUNCTION("""COMPUTED_VALUE"""),"International Joint Conference on Natural Language Processing")</f>
        <v>International Joint Conference on Natural Language Processing</v>
      </c>
      <c r="C396" s="2" t="str">
        <f>IFERROR(__xludf.DUMMYFUNCTION("""COMPUTED_VALUE"""),"Conferência Internacional Conjunta sobre Processamento de Linguagem Natural")</f>
        <v>Conferência Internacional Conjunta sobre Processamento de Linguagem Natural</v>
      </c>
    </row>
    <row r="397">
      <c r="A397" s="4" t="s">
        <v>194</v>
      </c>
      <c r="B397" s="2" t="str">
        <f>IFERROR(__xludf.DUMMYFUNCTION("""COMPUTED_VALUE"""),"IEEE International Joint Conference on Neural Networks")</f>
        <v>IEEE International Joint Conference on Neural Networks</v>
      </c>
      <c r="C397" s="2" t="str">
        <f>IFERROR(__xludf.DUMMYFUNCTION("""COMPUTED_VALUE"""),"Conferência Internacional Conjunta IEEE sobre Redes Neurais")</f>
        <v>Conferência Internacional Conjunta IEEE sobre Redes Neurais</v>
      </c>
    </row>
    <row r="398">
      <c r="A398" s="5"/>
      <c r="B398" s="2" t="str">
        <f>IFERROR(__xludf.DUMMYFUNCTION("""COMPUTED_VALUE"""),"International Conference on Inductive Logic Programming")</f>
        <v>International Conference on Inductive Logic Programming</v>
      </c>
      <c r="C398" s="2" t="str">
        <f>IFERROR(__xludf.DUMMYFUNCTION("""COMPUTED_VALUE"""),"Conferência Internacional sobre Programação Lógica Indutiva")</f>
        <v>Conferência Internacional sobre Programação Lógica Indutiva</v>
      </c>
    </row>
    <row r="399">
      <c r="A399" s="4" t="s">
        <v>195</v>
      </c>
      <c r="B399" s="2" t="str">
        <f>IFERROR(__xludf.DUMMYFUNCTION("""COMPUTED_VALUE"""),"IFIP/IEEE International Symposium on Integrated Network Management")</f>
        <v>IFIP/IEEE International Symposium on Integrated Network Management</v>
      </c>
      <c r="C399" s="2" t="str">
        <f>IFERROR(__xludf.DUMMYFUNCTION("""COMPUTED_VALUE"""),"Simpósio Internacional IFIP/IEEE sobre Gestão Integrada de Redes")</f>
        <v>Simpósio Internacional IFIP/IEEE sobre Gestão Integrada de Redes</v>
      </c>
    </row>
    <row r="400">
      <c r="A400" s="5"/>
      <c r="B400" s="2" t="str">
        <f>IFERROR(__xludf.DUMMYFUNCTION("""COMPUTED_VALUE"""),"International Symposium on Model-Based Safety and Assessment")</f>
        <v>International Symposium on Model-Based Safety and Assessment</v>
      </c>
      <c r="C400" s="2" t="str">
        <f>IFERROR(__xludf.DUMMYFUNCTION("""COMPUTED_VALUE"""),"Simpósio Internacional sobre Segurança e Avaliação Baseada em Modelos")</f>
        <v>Simpósio Internacional sobre Segurança e Avaliação Baseada em Modelos</v>
      </c>
    </row>
    <row r="401">
      <c r="A401" s="4" t="s">
        <v>196</v>
      </c>
      <c r="B401" s="2" t="str">
        <f>IFERROR(__xludf.DUMMYFUNCTION("""COMPUTED_VALUE"""),"ACM Internet Measurement Conference")</f>
        <v>ACM Internet Measurement Conference</v>
      </c>
      <c r="C401" s="2" t="str">
        <f>IFERROR(__xludf.DUMMYFUNCTION("""COMPUTED_VALUE"""),"Conferência de Medição de Internet ACM")</f>
        <v>Conferência de Medição de Internet ACM</v>
      </c>
    </row>
    <row r="402">
      <c r="A402" s="5"/>
      <c r="B402" s="2" t="str">
        <f>IFERROR(__xludf.DUMMYFUNCTION("""COMPUTED_VALUE"""),"SBMO/IEEE MTT-S International Microwave and Optoelectronics Conference")</f>
        <v>SBMO/IEEE MTT-S International Microwave and Optoelectronics Conference</v>
      </c>
      <c r="C402" s="2" t="str">
        <f>IFERROR(__xludf.DUMMYFUNCTION("""COMPUTED_VALUE"""),"Conferência Internacional de Micro-ondas e Optoeletrônica SBMO/IEEE MTT-S")</f>
        <v>Conferência Internacional de Micro-ondas e Optoeletrônica SBMO/IEEE MTT-S</v>
      </c>
    </row>
    <row r="403">
      <c r="A403" s="4" t="s">
        <v>197</v>
      </c>
      <c r="B403" s="2" t="str">
        <f>IFERROR(__xludf.DUMMYFUNCTION("""COMPUTED_VALUE"""),"IEEE International Conference on Industrial Informatics")</f>
        <v>IEEE International Conference on Industrial Informatics</v>
      </c>
      <c r="C403" s="2" t="str">
        <f>IFERROR(__xludf.DUMMYFUNCTION("""COMPUTED_VALUE"""),"Conferência Internacional IEEE sobre Informática Industrial")</f>
        <v>Conferência Internacional IEEE sobre Informática Industrial</v>
      </c>
    </row>
    <row r="404">
      <c r="A404" s="5"/>
      <c r="B404" s="2" t="str">
        <f>IFERROR(__xludf.DUMMYFUNCTION("""COMPUTED_VALUE"""),"International Conference on Industry Applications")</f>
        <v>International Conference on Industry Applications</v>
      </c>
      <c r="C404" s="2" t="str">
        <f>IFERROR(__xludf.DUMMYFUNCTION("""COMPUTED_VALUE"""),"Conferência Internacional sobre Aplicações Industriais")</f>
        <v>Conferência Internacional sobre Aplicações Industriais</v>
      </c>
    </row>
    <row r="405">
      <c r="A405" s="4" t="s">
        <v>198</v>
      </c>
      <c r="B405" s="2" t="str">
        <f>IFERROR(__xludf.DUMMYFUNCTION("""COMPUTED_VALUE"""),"IEEE International Conference on Computer Communications")</f>
        <v>IEEE International Conference on Computer Communications</v>
      </c>
      <c r="C405" s="2" t="str">
        <f>IFERROR(__xludf.DUMMYFUNCTION("""COMPUTED_VALUE"""),"Conferência Internacional IEEE sobre Comunicações de Computadores")</f>
        <v>Conferência Internacional IEEE sobre Comunicações de Computadores</v>
      </c>
    </row>
    <row r="406">
      <c r="A406" s="5"/>
      <c r="B406" s="2" t="str">
        <f>IFERROR(__xludf.DUMMYFUNCTION("""COMPUTED_VALUE"""),"IEEE International Conference on Computer Communications Companion")</f>
        <v>IEEE International Conference on Computer Communications Companion</v>
      </c>
      <c r="C406" s="2" t="str">
        <f>IFERROR(__xludf.DUMMYFUNCTION("""COMPUTED_VALUE"""),"Conferência Internacional IEEE sobre Comunicações de Computadores (Complementar)")</f>
        <v>Conferência Internacional IEEE sobre Comunicações de Computadores (Complementar)</v>
      </c>
    </row>
    <row r="407">
      <c r="A407" s="4" t="s">
        <v>199</v>
      </c>
      <c r="B407" s="2" t="str">
        <f>IFERROR(__xludf.DUMMYFUNCTION("""COMPUTED_VALUE"""),"International Natural Language Generation conference")</f>
        <v>International Natural Language Generation conference</v>
      </c>
      <c r="C407" s="2" t="str">
        <f>IFERROR(__xludf.DUMMYFUNCTION("""COMPUTED_VALUE"""),"Conferência Internacional de Geração de Linguagem Natural")</f>
        <v>Conferência Internacional de Geração de Linguagem Natural</v>
      </c>
    </row>
    <row r="408">
      <c r="A408" s="5"/>
      <c r="B408" s="2" t="str">
        <f>IFERROR(__xludf.DUMMYFUNCTION("""COMPUTED_VALUE"""),"International Network Optimization Conference")</f>
        <v>International Network Optimization Conference</v>
      </c>
      <c r="C408" s="2" t="str">
        <f>IFERROR(__xludf.DUMMYFUNCTION("""COMPUTED_VALUE"""),"Conferência Internacional de Otimização de Redes")</f>
        <v>Conferência Internacional de Otimização de Redes</v>
      </c>
    </row>
    <row r="409">
      <c r="A409" s="4" t="s">
        <v>200</v>
      </c>
      <c r="B409" s="2" t="str">
        <f>IFERROR(__xludf.DUMMYFUNCTION("""COMPUTED_VALUE"""),"International Symposium on Instrumentation Systems, Circuits and Transducers")</f>
        <v>International Symposium on Instrumentation Systems, Circuits and Transducers</v>
      </c>
      <c r="C409" s="2" t="str">
        <f>IFERROR(__xludf.DUMMYFUNCTION("""COMPUTED_VALUE"""),"Simpósio Internacional sobre Sistemas de Instrumentação, Circuitos e Transdutores")</f>
        <v>Simpósio Internacional sobre Sistemas de Instrumentação, Circuitos e Transdutores</v>
      </c>
    </row>
    <row r="410">
      <c r="A410" s="5"/>
      <c r="B410" s="2" t="str">
        <f>IFERROR(__xludf.DUMMYFUNCTION("""COMPUTED_VALUE"""),"SAI Intelligent Systems Conference")</f>
        <v>SAI Intelligent Systems Conference</v>
      </c>
      <c r="C410" s="2" t="str">
        <f>IFERROR(__xludf.DUMMYFUNCTION("""COMPUTED_VALUE"""),"Conferência de Sistemas Inteligentes SAI")</f>
        <v>Conferência de Sistemas Inteligentes SAI</v>
      </c>
    </row>
    <row r="411">
      <c r="A411" s="4" t="s">
        <v>201</v>
      </c>
      <c r="B411" s="2" t="str">
        <f>IFERROR(__xludf.DUMMYFUNCTION("""COMPUTED_VALUE"""),"IFIP TC 13 International Conference on Human-Computer Interaction")</f>
        <v>IFIP TC 13 International Conference on Human-Computer Interaction</v>
      </c>
      <c r="C411" s="2" t="str">
        <f>IFERROR(__xludf.DUMMYFUNCTION("""COMPUTED_VALUE"""),"Conferência Internacional IFIP TC 13 sobre Interação Humano-Computador")</f>
        <v>Conferência Internacional IFIP TC 13 sobre Interação Humano-Computador</v>
      </c>
    </row>
    <row r="412">
      <c r="A412" s="5"/>
      <c r="B412" s="2" t="str">
        <f>IFERROR(__xludf.DUMMYFUNCTION("""COMPUTED_VALUE"""),"Conference of the International Speech Communication Association")</f>
        <v>Conference of the International Speech Communication Association</v>
      </c>
      <c r="C412" s="2" t="str">
        <f>IFERROR(__xludf.DUMMYFUNCTION("""COMPUTED_VALUE"""),"Conferência da Associação Internacional de Comunicação por Fala")</f>
        <v>Conferência da Associação Internacional de Comunicação por Fala</v>
      </c>
    </row>
    <row r="413">
      <c r="A413" s="4" t="s">
        <v>202</v>
      </c>
      <c r="B413" s="2" t="str">
        <f>IFERROR(__xludf.DUMMYFUNCTION("""COMPUTED_VALUE"""),"IEEE International On-Line Testing Symposium")</f>
        <v>IEEE International On-Line Testing Symposium</v>
      </c>
      <c r="C413" s="2" t="str">
        <f>IFERROR(__xludf.DUMMYFUNCTION("""COMPUTED_VALUE"""),"Simpósio Internacional IEEE de Testes On-Line")</f>
        <v>Simpósio Internacional IEEE de Testes On-Line</v>
      </c>
    </row>
    <row r="414">
      <c r="A414" s="5"/>
      <c r="B414" s="2" t="str">
        <f>IFERROR(__xludf.DUMMYFUNCTION("""COMPUTED_VALUE"""),"International Conference on Internet of Things and Big Data and Security")</f>
        <v>International Conference on Internet of Things and Big Data and Security</v>
      </c>
      <c r="C414" s="2" t="str">
        <f>IFERROR(__xludf.DUMMYFUNCTION("""COMPUTED_VALUE"""),"Conferência Internacional sobre Internet das Coisas, Big Data e Segurança")</f>
        <v>Conferência Internacional sobre Internet das Coisas, Big Data e Segurança</v>
      </c>
    </row>
    <row r="415">
      <c r="A415" s="4" t="s">
        <v>203</v>
      </c>
      <c r="B415" s="2" t="str">
        <f>IFERROR(__xludf.DUMMYFUNCTION("""COMPUTED_VALUE"""),"International Provenance and Annotation Workshop")</f>
        <v>International Provenance and Annotation Workshop</v>
      </c>
      <c r="C415" s="2" t="str">
        <f>IFERROR(__xludf.DUMMYFUNCTION("""COMPUTED_VALUE"""),"Workshop Internacional de Proveniência e Anotação")</f>
        <v>Workshop Internacional de Proveniência e Anotação</v>
      </c>
    </row>
    <row r="416">
      <c r="A416" s="5"/>
      <c r="B416" s="2" t="str">
        <f>IFERROR(__xludf.DUMMYFUNCTION("""COMPUTED_VALUE"""),"Conference on Integer Programming and Combinatorial Optimization")</f>
        <v>Conference on Integer Programming and Combinatorial Optimization</v>
      </c>
      <c r="C416" s="2" t="str">
        <f>IFERROR(__xludf.DUMMYFUNCTION("""COMPUTED_VALUE"""),"Conferência sobre Programação Inteira e Otimização Combinatória")</f>
        <v>Conferência sobre Programação Inteira e Otimização Combinatória</v>
      </c>
    </row>
    <row r="417">
      <c r="A417" s="4" t="s">
        <v>204</v>
      </c>
      <c r="B417" s="2" t="str">
        <f>IFERROR(__xludf.DUMMYFUNCTION("""COMPUTED_VALUE"""),"IEEE International Parallel &amp; Distributed Processing Symposium")</f>
        <v>IEEE International Parallel &amp; Distributed Processing Symposium</v>
      </c>
      <c r="C417" s="2" t="str">
        <f>IFERROR(__xludf.DUMMYFUNCTION("""COMPUTED_VALUE"""),"Simpósio Internacional IEEE de Processamento Paralelo e Distribuído")</f>
        <v>Simpósio Internacional IEEE de Processamento Paralelo e Distribuído</v>
      </c>
    </row>
    <row r="418">
      <c r="A418" s="5"/>
      <c r="B418" s="2" t="str">
        <f>IFERROR(__xludf.DUMMYFUNCTION("""COMPUTED_VALUE"""),"IEEE International Parallel &amp; Distributed Processing Symposium Companion")</f>
        <v>IEEE International Parallel &amp; Distributed Processing Symposium Companion</v>
      </c>
      <c r="C418" s="2" t="str">
        <f>IFERROR(__xludf.DUMMYFUNCTION("""COMPUTED_VALUE"""),"Simpósio Internacional IEEE de Processamento Paralelo e Distribuído (Complementar)")</f>
        <v>Simpósio Internacional IEEE de Processamento Paralelo e Distribuído (Complementar)</v>
      </c>
    </row>
    <row r="419">
      <c r="A419" s="4" t="s">
        <v>205</v>
      </c>
      <c r="B419" s="2" t="str">
        <f>IFERROR(__xludf.DUMMYFUNCTION("""COMPUTED_VALUE"""),"International Symposium on Parameterized and Exact Computation")</f>
        <v>International Symposium on Parameterized and Exact Computation</v>
      </c>
      <c r="C419" s="2" t="str">
        <f>IFERROR(__xludf.DUMMYFUNCTION("""COMPUTED_VALUE"""),"Simpósio Internacional sobre Computação Parametrizada e Exata")</f>
        <v>Simpósio Internacional sobre Computação Parametrizada e Exata</v>
      </c>
    </row>
    <row r="420">
      <c r="A420" s="5"/>
      <c r="B420" s="2" t="str">
        <f>IFERROR(__xludf.DUMMYFUNCTION("""COMPUTED_VALUE"""),"International Conference on Information Processing and Management of Uncertainty")</f>
        <v>International Conference on Information Processing and Management of Uncertainty</v>
      </c>
      <c r="C420" s="2" t="str">
        <f>IFERROR(__xludf.DUMMYFUNCTION("""COMPUTED_VALUE"""),"Conferência Internacional sobre Processamento de Informação e Gestão de Incerteza")</f>
        <v>Conferência Internacional sobre Processamento de Informação e Gestão de Incerteza</v>
      </c>
    </row>
    <row r="421">
      <c r="A421" s="4" t="s">
        <v>206</v>
      </c>
      <c r="B421" s="2" t="str">
        <f>IFERROR(__xludf.DUMMYFUNCTION("""COMPUTED_VALUE"""),"International Conference on Image Processing Theory Tools and Applications")</f>
        <v>International Conference on Image Processing Theory Tools and Applications</v>
      </c>
      <c r="C421" s="2" t="str">
        <f>IFERROR(__xludf.DUMMYFUNCTION("""COMPUTED_VALUE"""),"Conferência Internacional sobre Teoria, Ferramentas e Aplicações de Processamento de Imagem")</f>
        <v>Conferência Internacional sobre Teoria, Ferramentas e Aplicações de Processamento de Imagem</v>
      </c>
    </row>
    <row r="422">
      <c r="A422" s="5"/>
      <c r="B422" s="2" t="str">
        <f>IFERROR(__xludf.DUMMYFUNCTION("""COMPUTED_VALUE"""),"IEEE International Conference on Robotic Computing")</f>
        <v>IEEE International Conference on Robotic Computing</v>
      </c>
      <c r="C422" s="2" t="str">
        <f>IFERROR(__xludf.DUMMYFUNCTION("""COMPUTED_VALUE"""),"Conferência Internacional IEEE sobre Computação Robótica")</f>
        <v>Conferência Internacional IEEE sobre Computação Robótica</v>
      </c>
    </row>
    <row r="423">
      <c r="A423" s="4" t="s">
        <v>207</v>
      </c>
      <c r="B423" s="2" t="str">
        <f>IFERROR(__xludf.DUMMYFUNCTION("""COMPUTED_VALUE"""),"IEEE/RSJ International Conference on Intelligent Robots and Systems")</f>
        <v>IEEE/RSJ International Conference on Intelligent Robots and Systems</v>
      </c>
      <c r="C423" s="2" t="str">
        <f>IFERROR(__xludf.DUMMYFUNCTION("""COMPUTED_VALUE"""),"Conferência Internacional IEEE/RSJ sobre Robôs e Sistemas Inteligentes")</f>
        <v>Conferência Internacional IEEE/RSJ sobre Robôs e Sistemas Inteligentes</v>
      </c>
    </row>
    <row r="424">
      <c r="A424" s="5"/>
      <c r="B424" s="2" t="str">
        <f>IFERROR(__xludf.DUMMYFUNCTION("""COMPUTED_VALUE"""),"International Symposium on Algorithms and Computation")</f>
        <v>International Symposium on Algorithms and Computation</v>
      </c>
      <c r="C424" s="2" t="str">
        <f>IFERROR(__xludf.DUMMYFUNCTION("""COMPUTED_VALUE"""),"Simpósio Internacional sobre Algoritmos e Computação")</f>
        <v>Simpósio Internacional sobre Algoritmos e Computação</v>
      </c>
    </row>
    <row r="425">
      <c r="A425" s="4" t="s">
        <v>208</v>
      </c>
      <c r="B425" s="2" t="str">
        <f>IFERROR(__xludf.DUMMYFUNCTION("""COMPUTED_VALUE"""),"International Symposium on Autonomous Decentralized Systems")</f>
        <v>International Symposium on Autonomous Decentralized Systems</v>
      </c>
      <c r="C425" s="2" t="str">
        <f>IFERROR(__xludf.DUMMYFUNCTION("""COMPUTED_VALUE"""),"Simpósio Internacional sobre Sistemas Descentralizados Autônomos")</f>
        <v>Simpósio Internacional sobre Sistemas Descentralizados Autônomos</v>
      </c>
    </row>
    <row r="426">
      <c r="A426" s="5"/>
      <c r="B426" s="2" t="str">
        <f>IFERROR(__xludf.DUMMYFUNCTION("""COMPUTED_VALUE"""),"IEEE International Symposium on Biomedical Imaging")</f>
        <v>IEEE International Symposium on Biomedical Imaging</v>
      </c>
      <c r="C426" s="2" t="str">
        <f>IFERROR(__xludf.DUMMYFUNCTION("""COMPUTED_VALUE"""),"Simpósio Internacional IEEE de Imagem Biomédica")</f>
        <v>Simpósio Internacional IEEE de Imagem Biomédica</v>
      </c>
    </row>
    <row r="427">
      <c r="A427" s="4" t="s">
        <v>209</v>
      </c>
      <c r="B427" s="2" t="str">
        <f>IFERROR(__xludf.DUMMYFUNCTION("""COMPUTED_VALUE"""),"International Symposium on Bioinformatics Research and Applications")</f>
        <v>International Symposium on Bioinformatics Research and Applications</v>
      </c>
      <c r="C427" s="2" t="str">
        <f>IFERROR(__xludf.DUMMYFUNCTION("""COMPUTED_VALUE"""),"Simpósio Internacional sobre Pesquisa e Aplicações em Bioinformática")</f>
        <v>Simpósio Internacional sobre Pesquisa e Aplicações em Bioinformática</v>
      </c>
    </row>
    <row r="428">
      <c r="A428" s="5"/>
      <c r="B428" s="2" t="str">
        <f>IFERROR(__xludf.DUMMYFUNCTION("""COMPUTED_VALUE"""),"International Conference on Information Security")</f>
        <v>International Conference on Information Security</v>
      </c>
      <c r="C428" s="2" t="str">
        <f>IFERROR(__xludf.DUMMYFUNCTION("""COMPUTED_VALUE"""),"Conferência Internacional sobre Segurança da Informação")</f>
        <v>Conferência Internacional sobre Segurança da Informação</v>
      </c>
    </row>
    <row r="429">
      <c r="A429" s="4" t="s">
        <v>210</v>
      </c>
      <c r="B429" s="2" t="str">
        <f>IFERROR(__xludf.DUMMYFUNCTION("""COMPUTED_VALUE"""),"IEEE International Smart Cities Conference")</f>
        <v>IEEE International Smart Cities Conference</v>
      </c>
      <c r="C429" s="2" t="str">
        <f>IFERROR(__xludf.DUMMYFUNCTION("""COMPUTED_VALUE"""),"Conferência Internacional IEEE de Cidades Inteligentes")</f>
        <v>Conferência Internacional IEEE de Cidades Inteligentes</v>
      </c>
    </row>
    <row r="430">
      <c r="A430" s="5"/>
      <c r="B430" s="2" t="str">
        <f>IFERROR(__xludf.DUMMYFUNCTION("""COMPUTED_VALUE"""),"IEEE International Symposium on Circuits and Systems")</f>
        <v>IEEE International Symposium on Circuits and Systems</v>
      </c>
      <c r="C430" s="2" t="str">
        <f>IFERROR(__xludf.DUMMYFUNCTION("""COMPUTED_VALUE"""),"Simpósio Internacional IEEE de Circuitos e Sistemas")</f>
        <v>Simpósio Internacional IEEE de Circuitos e Sistemas</v>
      </c>
    </row>
    <row r="431">
      <c r="A431" s="4" t="s">
        <v>211</v>
      </c>
      <c r="B431" s="2" t="str">
        <f>IFERROR(__xludf.DUMMYFUNCTION("""COMPUTED_VALUE"""),"International Symposium on Computers and Communications")</f>
        <v>International Symposium on Computers and Communications</v>
      </c>
      <c r="C431" s="2" t="str">
        <f>IFERROR(__xludf.DUMMYFUNCTION("""COMPUTED_VALUE"""),"Simpósio Internacional sobre Computadores e Comunicações")</f>
        <v>Simpósio Internacional sobre Computadores e Comunicações</v>
      </c>
    </row>
    <row r="432">
      <c r="A432" s="5"/>
      <c r="B432" s="2" t="str">
        <f>IFERROR(__xludf.DUMMYFUNCTION("""COMPUTED_VALUE"""),"International Symposium on Combinatorial Optimization")</f>
        <v>International Symposium on Combinatorial Optimization</v>
      </c>
      <c r="C432" s="2" t="str">
        <f>IFERROR(__xludf.DUMMYFUNCTION("""COMPUTED_VALUE"""),"Simpósio Internacional sobre Otimização Combinatória")</f>
        <v>Simpósio Internacional sobre Otimização Combinatória</v>
      </c>
    </row>
    <row r="433">
      <c r="A433" s="4" t="s">
        <v>212</v>
      </c>
      <c r="B433" s="2" t="str">
        <f>IFERROR(__xludf.DUMMYFUNCTION("""COMPUTED_VALUE"""),"International Conference on Information Systems for Crisis Response and Management")</f>
        <v>International Conference on Information Systems for Crisis Response and Management</v>
      </c>
      <c r="C433" s="2" t="str">
        <f>IFERROR(__xludf.DUMMYFUNCTION("""COMPUTED_VALUE"""),"Conferência Internacional sobre Sistemas de Informação para Resposta e Gestão de Crises")</f>
        <v>Conferência Internacional sobre Sistemas de Informação para Resposta e Gestão de Crises</v>
      </c>
    </row>
    <row r="434">
      <c r="A434" s="5"/>
      <c r="B434" s="2" t="str">
        <f>IFERROR(__xludf.DUMMYFUNCTION("""COMPUTED_VALUE"""),"Workshop Brasileiro de Engenharia de Software Inteligente")</f>
        <v>Workshop Brasileiro de Engenharia de Software Inteligente</v>
      </c>
      <c r="C434" s="2" t="str">
        <f>IFERROR(__xludf.DUMMYFUNCTION("""COMPUTED_VALUE"""),"Brazilian Workshop on Intelligent Software Engineering")</f>
        <v>Brazilian Workshop on Intelligent Software Engineering</v>
      </c>
    </row>
    <row r="435">
      <c r="A435" s="4" t="s">
        <v>213</v>
      </c>
      <c r="B435" s="2" t="str">
        <f>IFERROR(__xludf.DUMMYFUNCTION("""COMPUTED_VALUE"""),"IEEE PES Innovative Smart Grid Technologies")</f>
        <v>IEEE PES Innovative Smart Grid Technologies</v>
      </c>
      <c r="C435" s="2" t="str">
        <f>IFERROR(__xludf.DUMMYFUNCTION("""COMPUTED_VALUE"""),"Tecnologias Inovadoras de Redes Inteligentes IEEE PES")</f>
        <v>Tecnologias Inovadoras de Redes Inteligentes IEEE PES</v>
      </c>
    </row>
    <row r="436">
      <c r="A436" s="5"/>
      <c r="B436" s="2" t="str">
        <f>IFERROR(__xludf.DUMMYFUNCTION("""COMPUTED_VALUE"""),"IEEE PES Innovative Smart Grid Technologies Conference Europe")</f>
        <v>IEEE PES Innovative Smart Grid Technologies Conference Europe</v>
      </c>
      <c r="C436" s="2" t="str">
        <f>IFERROR(__xludf.DUMMYFUNCTION("""COMPUTED_VALUE"""),"Conferência de Tecnologias Inovadoras de Redes Inteligentes IEEE PES Europa")</f>
        <v>Conferência de Tecnologias Inovadoras de Redes Inteligentes IEEE PES Europa</v>
      </c>
    </row>
    <row r="437">
      <c r="A437" s="4" t="s">
        <v>214</v>
      </c>
      <c r="B437" s="2" t="str">
        <f>IFERROR(__xludf.DUMMYFUNCTION("""COMPUTED_VALUE"""),"IEEE PES Innovative Smart Grid Technologies Conference Latin America")</f>
        <v>IEEE PES Innovative Smart Grid Technologies Conference Latin America</v>
      </c>
      <c r="C437" s="2" t="str">
        <f>IFERROR(__xludf.DUMMYFUNCTION("""COMPUTED_VALUE"""),"Conferência de Tecnologias Inovadoras de Redes Inteligentes IEEE PES América Latina")</f>
        <v>Conferência de Tecnologias Inovadoras de Redes Inteligentes IEEE PES América Latina</v>
      </c>
    </row>
    <row r="438">
      <c r="A438" s="5"/>
      <c r="B438" s="2" t="str">
        <f>IFERROR(__xludf.DUMMYFUNCTION("""COMPUTED_VALUE"""),"IEEE International Symposium on Industrial Electronics")</f>
        <v>IEEE International Symposium on Industrial Electronics</v>
      </c>
      <c r="C438" s="2" t="str">
        <f>IFERROR(__xludf.DUMMYFUNCTION("""COMPUTED_VALUE"""),"Simpósio Internacional IEEE de Eletrônica Industrial")</f>
        <v>Simpósio Internacional IEEE de Eletrônica Industrial</v>
      </c>
    </row>
    <row r="439">
      <c r="A439" s="4" t="s">
        <v>215</v>
      </c>
      <c r="B439" s="2" t="str">
        <f>IFERROR(__xludf.DUMMYFUNCTION("""COMPUTED_VALUE"""),"International Symposium on Imprecise Probabilities: Theories and Applications")</f>
        <v>International Symposium on Imprecise Probabilities: Theories and Applications</v>
      </c>
      <c r="C439" s="2" t="str">
        <f>IFERROR(__xludf.DUMMYFUNCTION("""COMPUTED_VALUE"""),"Simpósio Internacional sobre Probabilidades Imprecisas: Teorias e Aplicações")</f>
        <v>Simpósio Internacional sobre Probabilidades Imprecisas: Teorias e Aplicações</v>
      </c>
    </row>
    <row r="440">
      <c r="A440" s="5"/>
      <c r="B440" s="2" t="str">
        <f>IFERROR(__xludf.DUMMYFUNCTION("""COMPUTED_VALUE"""),"Information Systems in Latin America")</f>
        <v>Information Systems in Latin America</v>
      </c>
      <c r="C440" s="2" t="str">
        <f>IFERROR(__xludf.DUMMYFUNCTION("""COMPUTED_VALUE"""),"Sistemas de Informação na América Latina")</f>
        <v>Sistemas de Informação na América Latina</v>
      </c>
    </row>
    <row r="441">
      <c r="A441" s="4" t="s">
        <v>216</v>
      </c>
      <c r="B441" s="2" t="str">
        <f>IFERROR(__xludf.DUMMYFUNCTION("""COMPUTED_VALUE"""),"IEEE International Symposium on Multimedia")</f>
        <v>IEEE International Symposium on Multimedia</v>
      </c>
      <c r="C441" s="2" t="str">
        <f>IFERROR(__xludf.DUMMYFUNCTION("""COMPUTED_VALUE"""),"Simpósio Internacional IEEE de Multimídia")</f>
        <v>Simpósio Internacional IEEE de Multimídia</v>
      </c>
    </row>
    <row r="442">
      <c r="A442" s="5"/>
      <c r="B442" s="2" t="str">
        <f>IFERROR(__xludf.DUMMYFUNCTION("""COMPUTED_VALUE"""),"IEEE International Symposium on Mixed and Augmented Reality")</f>
        <v>IEEE International Symposium on Mixed and Augmented Reality</v>
      </c>
      <c r="C442" s="2" t="str">
        <f>IFERROR(__xludf.DUMMYFUNCTION("""COMPUTED_VALUE"""),"Simpósio Internacional IEEE de Realidade Mista e Aumentada")</f>
        <v>Simpósio Internacional IEEE de Realidade Mista e Aumentada</v>
      </c>
    </row>
    <row r="443">
      <c r="A443" s="4" t="s">
        <v>217</v>
      </c>
      <c r="B443" s="2" t="str">
        <f>IFERROR(__xludf.DUMMYFUNCTION("""COMPUTED_VALUE"""),"International Society for Music Information Retrieval Conference")</f>
        <v>International Society for Music Information Retrieval Conference</v>
      </c>
      <c r="C443" s="2" t="str">
        <f>IFERROR(__xludf.DUMMYFUNCTION("""COMPUTED_VALUE"""),"Conferência da Sociedade Internacional de Recuperação de Informação Musical")</f>
        <v>Conferência da Sociedade Internacional de Recuperação de Informação Musical</v>
      </c>
    </row>
    <row r="444">
      <c r="A444" s="5"/>
      <c r="B444" s="2" t="str">
        <f>IFERROR(__xludf.DUMMYFUNCTION("""COMPUTED_VALUE"""),"International Conference on Intelligent Systems, Metaheuristics &amp; Swarm Intelligence")</f>
        <v>International Conference on Intelligent Systems, Metaheuristics &amp; Swarm Intelligence</v>
      </c>
      <c r="C444" s="2" t="str">
        <f>IFERROR(__xludf.DUMMYFUNCTION("""COMPUTED_VALUE"""),"Conferência Internacional sobre Sistemas Inteligentes, Metaheurísticas e Inteligência de Enxame")</f>
        <v>Conferência Internacional sobre Sistemas Inteligentes, Metaheurísticas e Inteligência de Enxame</v>
      </c>
    </row>
    <row r="445">
      <c r="A445" s="4" t="s">
        <v>218</v>
      </c>
      <c r="B445" s="2" t="str">
        <f>IFERROR(__xludf.DUMMYFUNCTION("""COMPUTED_VALUE"""),"IEEE International Symposium on Multiple-Valued Logic")</f>
        <v>IEEE International Symposium on Multiple-Valued Logic</v>
      </c>
      <c r="C445" s="2" t="str">
        <f>IFERROR(__xludf.DUMMYFUNCTION("""COMPUTED_VALUE"""),"Simpósio Internacional IEEE de Lógica de Múltiplos Valores")</f>
        <v>Simpósio Internacional IEEE de Lógica de Múltiplos Valores</v>
      </c>
    </row>
    <row r="446">
      <c r="A446" s="5"/>
      <c r="B446" s="2" t="str">
        <f>IFERROR(__xludf.DUMMYFUNCTION("""COMPUTED_VALUE"""),"International Symposium on Neural Networks")</f>
        <v>International Symposium on Neural Networks</v>
      </c>
      <c r="C446" s="2" t="str">
        <f>IFERROR(__xludf.DUMMYFUNCTION("""COMPUTED_VALUE"""),"Simpósio Internacional sobre Redes Neurais")</f>
        <v>Simpósio Internacional sobre Redes Neurais</v>
      </c>
    </row>
    <row r="447">
      <c r="A447" s="4" t="s">
        <v>219</v>
      </c>
      <c r="B447" s="2" t="str">
        <f>IFERROR(__xludf.DUMMYFUNCTION("""COMPUTED_VALUE"""),"IEEE International Symposium on RealTime Distributed Computing")</f>
        <v>IEEE International Symposium on RealTime Distributed Computing</v>
      </c>
      <c r="C447" s="2" t="str">
        <f>IFERROR(__xludf.DUMMYFUNCTION("""COMPUTED_VALUE"""),"Simpósio Internacional IEEE de Computação Distribuída em Tempo Real")</f>
        <v>Simpósio Internacional IEEE de Computação Distribuída em Tempo Real</v>
      </c>
    </row>
    <row r="448">
      <c r="A448" s="5"/>
      <c r="B448" s="2" t="str">
        <f>IFERROR(__xludf.DUMMYFUNCTION("""COMPUTED_VALUE"""),"IEEE International Symposium on Performance Analysis of Systems and Software")</f>
        <v>IEEE International Symposium on Performance Analysis of Systems and Software</v>
      </c>
      <c r="C448" s="2" t="str">
        <f>IFERROR(__xludf.DUMMYFUNCTION("""COMPUTED_VALUE"""),"Simpósio Internacional IEEE de Análise de Desempenho de Sistemas e Software")</f>
        <v>Simpósio Internacional IEEE de Análise de Desempenho de Sistemas e Software</v>
      </c>
    </row>
    <row r="449">
      <c r="A449" s="4" t="s">
        <v>220</v>
      </c>
      <c r="B449" s="2" t="str">
        <f>IFERROR(__xludf.DUMMYFUNCTION("""COMPUTED_VALUE"""),"International Symposium on Parallel and Distributed Computing")</f>
        <v>International Symposium on Parallel and Distributed Computing</v>
      </c>
      <c r="C449" s="2" t="str">
        <f>IFERROR(__xludf.DUMMYFUNCTION("""COMPUTED_VALUE"""),"Simpósio Internacional sobre Computação Paralela e Distribuída")</f>
        <v>Simpósio Internacional sobre Computação Paralela e Distribuída</v>
      </c>
    </row>
    <row r="450">
      <c r="A450" s="5"/>
      <c r="B450" s="2" t="str">
        <f>IFERROR(__xludf.DUMMYFUNCTION("""COMPUTED_VALUE"""),"ISPRS Annals of the Photogrammetry, Remote Sensing and Spatial Information Sciences")</f>
        <v>ISPRS Annals of the Photogrammetry, Remote Sensing and Spatial Information Sciences</v>
      </c>
      <c r="C450" s="2" t="str">
        <f>IFERROR(__xludf.DUMMYFUNCTION("""COMPUTED_VALUE"""),"Anais da ISPRS de Fotogrametria, Sensoriamento Remoto e Ciências da Informação Espacial")</f>
        <v>Anais da ISPRS de Fotogrametria, Sensoriamento Remoto e Ciências da Informação Espacial</v>
      </c>
    </row>
    <row r="451">
      <c r="A451" s="4" t="s">
        <v>221</v>
      </c>
      <c r="B451" s="2" t="str">
        <f>IFERROR(__xludf.DUMMYFUNCTION("""COMPUTED_VALUE"""),"International Symposium on Quality Electronic Design")</f>
        <v>International Symposium on Quality Electronic Design</v>
      </c>
      <c r="C451" s="2" t="str">
        <f>IFERROR(__xludf.DUMMYFUNCTION("""COMPUTED_VALUE"""),"Simpósio Internacional sobre Design Eletrônico de Qualidade")</f>
        <v>Simpósio Internacional sobre Design Eletrônico de Qualidade</v>
      </c>
    </row>
    <row r="452">
      <c r="A452" s="5"/>
      <c r="B452" s="2" t="str">
        <f>IFERROR(__xludf.DUMMYFUNCTION("""COMPUTED_VALUE"""),"International Society of Scientometrics and Informetrics Conference")</f>
        <v>International Society of Scientometrics and Informetrics Conference</v>
      </c>
      <c r="C452" s="2" t="str">
        <f>IFERROR(__xludf.DUMMYFUNCTION("""COMPUTED_VALUE"""),"Conferência da Sociedade Internacional de Cientometria e Informetria")</f>
        <v>Conferência da Sociedade Internacional de Cientometria e Informetria</v>
      </c>
    </row>
    <row r="453">
      <c r="A453" s="4" t="s">
        <v>222</v>
      </c>
      <c r="B453" s="2" t="str">
        <f>IFERROR(__xludf.DUMMYFUNCTION("""COMPUTED_VALUE"""),"IEEE International Symposium on Software Reliability Engineering")</f>
        <v>IEEE International Symposium on Software Reliability Engineering</v>
      </c>
      <c r="C453" s="2" t="str">
        <f>IFERROR(__xludf.DUMMYFUNCTION("""COMPUTED_VALUE"""),"Simpósio Internacional IEEE de Engenharia de Confiabilidade de Software")</f>
        <v>Simpósio Internacional IEEE de Engenharia de Confiabilidade de Software</v>
      </c>
    </row>
    <row r="454">
      <c r="A454" s="5"/>
      <c r="B454" s="2" t="str">
        <f>IFERROR(__xludf.DUMMYFUNCTION("""COMPUTED_VALUE"""),"IEEE International Symposium on Software Reliability Engineering Companion")</f>
        <v>IEEE International Symposium on Software Reliability Engineering Companion</v>
      </c>
      <c r="C454" s="2" t="str">
        <f>IFERROR(__xludf.DUMMYFUNCTION("""COMPUTED_VALUE"""),"Simpósio Internacional IEEE de Engenharia de Confiabilidade de Software (Complementar)")</f>
        <v>Simpósio Internacional IEEE de Engenharia de Confiabilidade de Software (Complementar)</v>
      </c>
    </row>
    <row r="455">
      <c r="A455" s="4" t="s">
        <v>223</v>
      </c>
      <c r="B455" s="2" t="str">
        <f>IFERROR(__xludf.DUMMYFUNCTION("""COMPUTED_VALUE"""),"International Symposium on Software Testing and Analysis")</f>
        <v>International Symposium on Software Testing and Analysis</v>
      </c>
      <c r="C455" s="2" t="str">
        <f>IFERROR(__xludf.DUMMYFUNCTION("""COMPUTED_VALUE"""),"Simpósio Internacional sobre Testes e Análise de Software")</f>
        <v>Simpósio Internacional sobre Testes e Análise de Software</v>
      </c>
    </row>
    <row r="456">
      <c r="A456" s="5"/>
      <c r="B456" s="2" t="str">
        <f>IFERROR(__xludf.DUMMYFUNCTION("""COMPUTED_VALUE"""),"International iWorkshop")</f>
        <v>International iWorkshop</v>
      </c>
      <c r="C456" s="2" t="str">
        <f>IFERROR(__xludf.DUMMYFUNCTION("""COMPUTED_VALUE"""),"Workshop Internacional i")</f>
        <v>Workshop Internacional i</v>
      </c>
    </row>
    <row r="457">
      <c r="A457" s="4" t="s">
        <v>224</v>
      </c>
      <c r="B457" s="2" t="str">
        <f>IFERROR(__xludf.DUMMYFUNCTION("""COMPUTED_VALUE"""),"International Symposium on Visual Computing")</f>
        <v>International Symposium on Visual Computing</v>
      </c>
      <c r="C457" s="2" t="str">
        <f>IFERROR(__xludf.DUMMYFUNCTION("""COMPUTED_VALUE"""),"Simpósio Internacional sobre Computação Visual")</f>
        <v>Simpósio Internacional sobre Computação Visual</v>
      </c>
    </row>
    <row r="458">
      <c r="A458" s="5"/>
      <c r="B458" s="2" t="str">
        <f>IFERROR(__xludf.DUMMYFUNCTION("""COMPUTED_VALUE"""),"IEEE Computer Society Annual Symposium on VLSI")</f>
        <v>IEEE Computer Society Annual Symposium on VLSI</v>
      </c>
      <c r="C458" s="2" t="str">
        <f>IFERROR(__xludf.DUMMYFUNCTION("""COMPUTED_VALUE"""),"Simpósio Anual da Sociedade de Computação IEEE sobre VLSI")</f>
        <v>Simpósio Anual da Sociedade de Computação IEEE sobre VLSI</v>
      </c>
    </row>
    <row r="459">
      <c r="A459" s="4" t="s">
        <v>225</v>
      </c>
      <c r="B459" s="2" t="str">
        <f>IFERROR(__xludf.DUMMYFUNCTION("""COMPUTED_VALUE"""),"International Symposium on Wireless Communication Systems")</f>
        <v>International Symposium on Wireless Communication Systems</v>
      </c>
      <c r="C459" s="2" t="str">
        <f>IFERROR(__xludf.DUMMYFUNCTION("""COMPUTED_VALUE"""),"Simpósio Internacional sobre Sistemas de Comunicação Sem Fio")</f>
        <v>Simpósio Internacional sobre Sistemas de Comunicação Sem Fio</v>
      </c>
    </row>
    <row r="460">
      <c r="A460" s="5"/>
      <c r="B460" s="2" t="str">
        <f>IFERROR(__xludf.DUMMYFUNCTION("""COMPUTED_VALUE"""),"International Test Conference")</f>
        <v>International Test Conference</v>
      </c>
      <c r="C460" s="2" t="str">
        <f>IFERROR(__xludf.DUMMYFUNCTION("""COMPUTED_VALUE"""),"Conferência Internacional de Testes")</f>
        <v>Conferência Internacional de Testes</v>
      </c>
    </row>
    <row r="461">
      <c r="A461" s="4" t="s">
        <v>226</v>
      </c>
      <c r="B461" s="2" t="str">
        <f>IFERROR(__xludf.DUMMYFUNCTION("""COMPUTED_VALUE"""),"International Conference on Information Technology Based Higher Education and Training")</f>
        <v>International Conference on Information Technology Based Higher Education and Training</v>
      </c>
      <c r="C461" s="2" t="str">
        <f>IFERROR(__xludf.DUMMYFUNCTION("""COMPUTED_VALUE"""),"Conferência Internacional sobre Educação e Treinamento Superior Baseado em Tecnologia da Informação")</f>
        <v>Conferência Internacional sobre Educação e Treinamento Superior Baseado em Tecnologia da Informação</v>
      </c>
    </row>
    <row r="462">
      <c r="A462" s="5"/>
      <c r="B462" s="2" t="str">
        <f>IFERROR(__xludf.DUMMYFUNCTION("""COMPUTED_VALUE"""),"Joint Conference on Innovation and Technology in Computer Science Education")</f>
        <v>Joint Conference on Innovation and Technology in Computer Science Education</v>
      </c>
      <c r="C462" s="2" t="str">
        <f>IFERROR(__xludf.DUMMYFUNCTION("""COMPUTED_VALUE"""),"Conferência Conjunta sobre Inovação e Tecnologia na Educação em Ciência da Computação")</f>
        <v>Conferência Conjunta sobre Inovação e Tecnologia na Educação em Ciência da Computação</v>
      </c>
    </row>
    <row r="463">
      <c r="A463" s="4" t="s">
        <v>227</v>
      </c>
      <c r="B463" s="2" t="str">
        <f>IFERROR(__xludf.DUMMYFUNCTION("""COMPUTED_VALUE"""),"International Conference on Information Technology : New Generations")</f>
        <v>International Conference on Information Technology : New Generations</v>
      </c>
      <c r="C463" s="2" t="str">
        <f>IFERROR(__xludf.DUMMYFUNCTION("""COMPUTED_VALUE"""),"Conferência Internacional sobre Tecnologia da Informação: Novas Gerações")</f>
        <v>Conferência Internacional sobre Tecnologia da Informação: Novas Gerações</v>
      </c>
    </row>
    <row r="464">
      <c r="A464" s="5"/>
      <c r="B464" s="2" t="str">
        <f>IFERROR(__xludf.DUMMYFUNCTION("""COMPUTED_VALUE"""),"International Conference on Interactive Theorem Proving")</f>
        <v>International Conference on Interactive Theorem Proving</v>
      </c>
      <c r="C464" s="2" t="str">
        <f>IFERROR(__xludf.DUMMYFUNCTION("""COMPUTED_VALUE"""),"Conferência Internacional sobre Prova Interativa de Teoremas")</f>
        <v>Conferência Internacional sobre Prova Interativa de Teoremas</v>
      </c>
    </row>
    <row r="465">
      <c r="A465" s="4" t="s">
        <v>228</v>
      </c>
      <c r="B465" s="2" t="str">
        <f>IFERROR(__xludf.DUMMYFUNCTION("""COMPUTED_VALUE"""),"International Conference on Augmented Intelligence and Intelligent Tutoring Systems")</f>
        <v>International Conference on Augmented Intelligence and Intelligent Tutoring Systems</v>
      </c>
      <c r="C465" s="2" t="str">
        <f>IFERROR(__xludf.DUMMYFUNCTION("""COMPUTED_VALUE"""),"Conferência Internacional sobre Inteligência Aumentada e Sistemas de Tutoria Inteligente")</f>
        <v>Conferência Internacional sobre Inteligência Aumentada e Sistemas de Tutoria Inteligente</v>
      </c>
    </row>
    <row r="466">
      <c r="A466" s="5"/>
      <c r="B466" s="2" t="str">
        <f>IFERROR(__xludf.DUMMYFUNCTION("""COMPUTED_VALUE"""),"IEEE International Conference on Intelligent Transportation Systems")</f>
        <v>IEEE International Conference on Intelligent Transportation Systems</v>
      </c>
      <c r="C466" s="2" t="str">
        <f>IFERROR(__xludf.DUMMYFUNCTION("""COMPUTED_VALUE"""),"Conferência Internacional IEEE sobre Sistemas de Transporte Inteligentes")</f>
        <v>Conferência Internacional IEEE sobre Sistemas de Transporte Inteligentes</v>
      </c>
    </row>
    <row r="467">
      <c r="A467" s="4" t="s">
        <v>229</v>
      </c>
      <c r="B467" s="2" t="str">
        <f>IFERROR(__xludf.DUMMYFUNCTION("""COMPUTED_VALUE"""),"International Conference on Intelligent User Interfaces")</f>
        <v>International Conference on Intelligent User Interfaces</v>
      </c>
      <c r="C467" s="2" t="str">
        <f>IFERROR(__xludf.DUMMYFUNCTION("""COMPUTED_VALUE"""),"Conferência Internacional sobre Interfaces Inteligentes de Usuário")</f>
        <v>Conferência Internacional sobre Interfaces Inteligentes de Usuário</v>
      </c>
    </row>
    <row r="468">
      <c r="A468" s="5"/>
      <c r="B468" s="2" t="str">
        <f>IFERROR(__xludf.DUMMYFUNCTION("""COMPUTED_VALUE"""),"International Conference on Information Visualization")</f>
        <v>International Conference on Information Visualization</v>
      </c>
      <c r="C468" s="2" t="str">
        <f>IFERROR(__xludf.DUMMYFUNCTION("""COMPUTED_VALUE"""),"Conferência Internacional sobre Visualização de Informações")</f>
        <v>Conferência Internacional sobre Visualização de Informações</v>
      </c>
    </row>
    <row r="469">
      <c r="A469" s="4" t="s">
        <v>230</v>
      </c>
      <c r="B469" s="2" t="str">
        <f>IFERROR(__xludf.DUMMYFUNCTION("""COMPUTED_VALUE"""),"International Conference on Information Visualization Theory and Applications")</f>
        <v>International Conference on Information Visualization Theory and Applications</v>
      </c>
      <c r="C469" s="2" t="str">
        <f>IFERROR(__xludf.DUMMYFUNCTION("""COMPUTED_VALUE"""),"Conferência Internacional sobre Teoria e Aplicações de Visualização de Informações")</f>
        <v>Conferência Internacional sobre Teoria e Aplicações de Visualização de Informações</v>
      </c>
    </row>
    <row r="470">
      <c r="A470" s="5"/>
      <c r="B470" s="2" t="str">
        <f>IFERROR(__xludf.DUMMYFUNCTION("""COMPUTED_VALUE"""),"IEEE Intelligent Vehicles Symposium")</f>
        <v>IEEE Intelligent Vehicles Symposium</v>
      </c>
      <c r="C470" s="2" t="str">
        <f>IFERROR(__xludf.DUMMYFUNCTION("""COMPUTED_VALUE"""),"Simpósio IEEE de Veículos Inteligentes")</f>
        <v>Simpósio IEEE de Veículos Inteligentes</v>
      </c>
    </row>
    <row r="471">
      <c r="A471" s="4" t="s">
        <v>231</v>
      </c>
      <c r="B471" s="2" t="str">
        <f>IFERROR(__xludf.DUMMYFUNCTION("""COMPUTED_VALUE"""),"International Work-Conference on Artificial Neural Networks")</f>
        <v>International Work-Conference on Artificial Neural Networks</v>
      </c>
      <c r="C471" s="2" t="str">
        <f>IFERROR(__xludf.DUMMYFUNCTION("""COMPUTED_VALUE"""),"Conferência de Trabalho Internacional sobre Redes Neurais Artificiais")</f>
        <v>Conferência de Trabalho Internacional sobre Redes Neurais Artificiais</v>
      </c>
    </row>
    <row r="472">
      <c r="A472" s="5"/>
      <c r="B472" s="2" t="str">
        <f>IFERROR(__xludf.DUMMYFUNCTION("""COMPUTED_VALUE"""),"International Work-Conference on Bioinformatics and Biomedical Engineering")</f>
        <v>International Work-Conference on Bioinformatics and Biomedical Engineering</v>
      </c>
      <c r="C472" s="2" t="str">
        <f>IFERROR(__xludf.DUMMYFUNCTION("""COMPUTED_VALUE"""),"Conferência de Trabalho Internacional sobre Bioinformática e Engenharia Biomédica")</f>
        <v>Conferência de Trabalho Internacional sobre Bioinformática e Engenharia Biomédica</v>
      </c>
    </row>
    <row r="473">
      <c r="A473" s="4" t="s">
        <v>232</v>
      </c>
      <c r="B473" s="2" t="str">
        <f>IFERROR(__xludf.DUMMYFUNCTION("""COMPUTED_VALUE"""),"International Wireless Communications and Mobile Computing Conference")</f>
        <v>International Wireless Communications and Mobile Computing Conference</v>
      </c>
      <c r="C473" s="2" t="str">
        <f>IFERROR(__xludf.DUMMYFUNCTION("""COMPUTED_VALUE"""),"Conferência Internacional de Comunicações Sem Fio e Computação Móvel")</f>
        <v>Conferência Internacional de Comunicações Sem Fio e Computação Móvel</v>
      </c>
    </row>
    <row r="474">
      <c r="A474" s="5"/>
      <c r="B474" s="2" t="str">
        <f>IFERROR(__xludf.DUMMYFUNCTION("""COMPUTED_VALUE"""),"International Workshop on Combinatorial Algorithms")</f>
        <v>International Workshop on Combinatorial Algorithms</v>
      </c>
      <c r="C474" s="2" t="str">
        <f>IFERROR(__xludf.DUMMYFUNCTION("""COMPUTED_VALUE"""),"Workshop Internacional sobre Algoritmos Combinatórios")</f>
        <v>Workshop Internacional sobre Algoritmos Combinatórios</v>
      </c>
    </row>
    <row r="475">
      <c r="A475" s="4" t="s">
        <v>233</v>
      </c>
      <c r="B475" s="2" t="str">
        <f>IFERROR(__xludf.DUMMYFUNCTION("""COMPUTED_VALUE"""),"International Workshop on Software Ecosystems")</f>
        <v>International Workshop on Software Ecosystems</v>
      </c>
      <c r="C475" s="2" t="str">
        <f>IFERROR(__xludf.DUMMYFUNCTION("""COMPUTED_VALUE"""),"Workshop Internacional sobre Ecossistemas de Software")</f>
        <v>Workshop Internacional sobre Ecossistemas de Software</v>
      </c>
    </row>
    <row r="476">
      <c r="A476" s="5"/>
      <c r="B476" s="2" t="str">
        <f>IFERROR(__xludf.DUMMYFUNCTION("""COMPUTED_VALUE"""),"International Conference on Systems, Signals and Image Processing")</f>
        <v>International Conference on Systems, Signals and Image Processing</v>
      </c>
      <c r="C476" s="2" t="str">
        <f>IFERROR(__xludf.DUMMYFUNCTION("""COMPUTED_VALUE"""),"Conferência Internacional sobre Sistemas, Sinais e Processamento de Imagem")</f>
        <v>Conferência Internacional sobre Sistemas, Sinais e Processamento de Imagem</v>
      </c>
    </row>
    <row r="477">
      <c r="A477" s="4" t="s">
        <v>234</v>
      </c>
      <c r="B477" s="2" t="str">
        <f>IFERROR(__xludf.DUMMYFUNCTION("""COMPUTED_VALUE"""),"Iberoamerican Conference on Applications and Usability of Interactive TV")</f>
        <v>Iberoamerican Conference on Applications and Usability of Interactive TV</v>
      </c>
      <c r="C477" s="2" t="str">
        <f>IFERROR(__xludf.DUMMYFUNCTION("""COMPUTED_VALUE"""),"Conferência Ibero-americana sobre Aplicações e Usabilidade de TV Interativa")</f>
        <v>Conferência Ibero-americana sobre Aplicações e Usabilidade de TV Interativa</v>
      </c>
    </row>
    <row r="478">
      <c r="A478" s="5"/>
      <c r="B478" s="2" t="str">
        <f>IFERROR(__xludf.DUMMYFUNCTION("""COMPUTED_VALUE"""),"ACM/IEEE Joint Conference on Digital Libraries")</f>
        <v>ACM/IEEE Joint Conference on Digital Libraries</v>
      </c>
      <c r="C478" s="2" t="str">
        <f>IFERROR(__xludf.DUMMYFUNCTION("""COMPUTED_VALUE"""),"Conferência Conjunta ACM/IEEE sobre Bibliotecas Digitais")</f>
        <v>Conferência Conjunta ACM/IEEE sobre Bibliotecas Digitais</v>
      </c>
    </row>
    <row r="479">
      <c r="A479" s="4" t="s">
        <v>235</v>
      </c>
      <c r="B479" s="2" t="str">
        <f>IFERROR(__xludf.DUMMYFUNCTION("""COMPUTED_VALUE"""),"Workshop on Job Scheduling Strategies for Parallel Processing")</f>
        <v>Workshop on Job Scheduling Strategies for Parallel Processing</v>
      </c>
      <c r="C479" s="2" t="str">
        <f>IFERROR(__xludf.DUMMYFUNCTION("""COMPUTED_VALUE"""),"Workshop sobre Estratégias de Agendamento de Tarefas para Processamento Paralelo")</f>
        <v>Workshop sobre Estratégias de Agendamento de Tarefas para Processamento Paralelo</v>
      </c>
    </row>
    <row r="480">
      <c r="A480" s="5"/>
      <c r="B480" s="2" t="str">
        <f>IFERROR(__xludf.DUMMYFUNCTION("""COMPUTED_VALUE"""),"International Conference on Legal Knowledge and Information Systems")</f>
        <v>International Conference on Legal Knowledge and Information Systems</v>
      </c>
      <c r="C480" s="2" t="str">
        <f>IFERROR(__xludf.DUMMYFUNCTION("""COMPUTED_VALUE"""),"Conferência Internacional sobre Conhecimento Jurídico e Sistemas de Informação")</f>
        <v>Conferência Internacional sobre Conhecimento Jurídico e Sistemas de Informação</v>
      </c>
    </row>
    <row r="481">
      <c r="A481" s="4" t="s">
        <v>236</v>
      </c>
      <c r="B481" s="2" t="str">
        <f>IFERROR(__xludf.DUMMYFUNCTION("""COMPUTED_VALUE"""),"ACM SIGKDD Conference on Knowledge Discovery and Data Mining")</f>
        <v>ACM SIGKDD Conference on Knowledge Discovery and Data Mining</v>
      </c>
      <c r="C481" s="2" t="str">
        <f>IFERROR(__xludf.DUMMYFUNCTION("""COMPUTED_VALUE"""),"Conferência ACM SIGKDD sobre Descoberta de Conhecimento e Mineração de Dados")</f>
        <v>Conferência ACM SIGKDD sobre Descoberta de Conhecimento e Mineração de Dados</v>
      </c>
    </row>
    <row r="482">
      <c r="A482" s="5"/>
      <c r="B482" s="2" t="str">
        <f>IFERROR(__xludf.DUMMYFUNCTION("""COMPUTED_VALUE"""),"Symposium on Knowledge Discovery, Mining and Learning")</f>
        <v>Symposium on Knowledge Discovery, Mining and Learning</v>
      </c>
      <c r="C482" s="2" t="str">
        <f>IFERROR(__xludf.DUMMYFUNCTION("""COMPUTED_VALUE"""),"Simpósio sobre Descoberta de Conhecimento, Mineração e Aprendizado")</f>
        <v>Simpósio sobre Descoberta de Conhecimento, Mineração e Aprendizado</v>
      </c>
    </row>
    <row r="483">
      <c r="A483" s="4" t="s">
        <v>237</v>
      </c>
      <c r="B483" s="2" t="str">
        <f>IFERROR(__xludf.DUMMYFUNCTION("""COMPUTED_VALUE"""),"Workshop on Knowledge Engineering for Planning and Scheduling")</f>
        <v>Workshop on Knowledge Engineering for Planning and Scheduling</v>
      </c>
      <c r="C483" s="2" t="str">
        <f>IFERROR(__xludf.DUMMYFUNCTION("""COMPUTED_VALUE"""),"Workshop sobre Engenharia de Conhecimento para Planejamento e Agendamento")</f>
        <v>Workshop sobre Engenharia de Conhecimento para Planejamento e Agendamento</v>
      </c>
    </row>
    <row r="484">
      <c r="A484" s="5"/>
      <c r="B484" s="2" t="str">
        <f>IFERROR(__xludf.DUMMYFUNCTION("""COMPUTED_VALUE"""),"International Conference on Principles of Knowledge Representation and Reasoning")</f>
        <v>International Conference on Principles of Knowledge Representation and Reasoning</v>
      </c>
      <c r="C484" s="2" t="str">
        <f>IFERROR(__xludf.DUMMYFUNCTION("""COMPUTED_VALUE"""),"Conferência Internacional sobre Princípios de Representação e Raciocínio de Conhecimento")</f>
        <v>Conferência Internacional sobre Princípios de Representação e Raciocínio de Conhecimento</v>
      </c>
    </row>
    <row r="485">
      <c r="A485" s="4" t="s">
        <v>238</v>
      </c>
      <c r="B485" s="2" t="str">
        <f>IFERROR(__xludf.DUMMYFUNCTION("""COMPUTED_VALUE"""),"ACM Conference on Learning @ Scale")</f>
        <v>ACM Conference on Learning @ Scale</v>
      </c>
      <c r="C485" s="2" t="str">
        <f>IFERROR(__xludf.DUMMYFUNCTION("""COMPUTED_VALUE"""),"Conferência ACM sobre Aprendizado em Escala")</f>
        <v>Conferência ACM sobre Aprendizado em Escala</v>
      </c>
    </row>
    <row r="486">
      <c r="A486" s="5"/>
      <c r="B486" s="2" t="str">
        <f>IFERROR(__xludf.DUMMYFUNCTION("""COMPUTED_VALUE"""),"Latin American Conference on Computational Intelligence")</f>
        <v>Latin American Conference on Computational Intelligence</v>
      </c>
      <c r="C486" s="2" t="str">
        <f>IFERROR(__xludf.DUMMYFUNCTION("""COMPUTED_VALUE"""),"Conferência Latino-Americana sobre Inteligência Computacional")</f>
        <v>Conferência Latino-Americana sobre Inteligência Computacional</v>
      </c>
    </row>
    <row r="487">
      <c r="A487" s="4" t="s">
        <v>239</v>
      </c>
      <c r="B487" s="2" t="str">
        <f>IFERROR(__xludf.DUMMYFUNCTION("""COMPUTED_VALUE"""),"Latin American Conference on Learning Technologies")</f>
        <v>Latin American Conference on Learning Technologies</v>
      </c>
      <c r="C487" s="2" t="str">
        <f>IFERROR(__xludf.DUMMYFUNCTION("""COMPUTED_VALUE"""),"Conferência Latino-Americana sobre Tecnologias de Aprendizagem")</f>
        <v>Conferência Latino-Americana sobre Tecnologias de Aprendizagem</v>
      </c>
    </row>
    <row r="488">
      <c r="A488" s="5"/>
      <c r="B488" s="2" t="str">
        <f>IFERROR(__xludf.DUMMYFUNCTION("""COMPUTED_VALUE"""),"Latin-American Symposium on Dependable and Secure Computing")</f>
        <v>Latin-American Symposium on Dependable and Secure Computing</v>
      </c>
      <c r="C488" s="2" t="str">
        <f>IFERROR(__xludf.DUMMYFUNCTION("""COMPUTED_VALUE"""),"Simpósio Latino-Americano sobre Computação Confiável e Segura")</f>
        <v>Simpósio Latino-Americano sobre Computação Confiável e Segura</v>
      </c>
    </row>
    <row r="489">
      <c r="A489" s="4" t="s">
        <v>240</v>
      </c>
      <c r="B489" s="2" t="str">
        <f>IFERROR(__xludf.DUMMYFUNCTION("""COMPUTED_VALUE"""),"Latin-American Algorithms, Graphs and Optimization Symposium")</f>
        <v>Latin-American Algorithms, Graphs and Optimization Symposium</v>
      </c>
      <c r="C489" s="2" t="str">
        <f>IFERROR(__xludf.DUMMYFUNCTION("""COMPUTED_VALUE"""),"Simpósio Latino-Americano de Algoritmos, Grafos e Otimização")</f>
        <v>Simpósio Latino-Americano de Algoritmos, Grafos e Otimização</v>
      </c>
    </row>
    <row r="490">
      <c r="A490" s="5"/>
      <c r="B490" s="2" t="str">
        <f>IFERROR(__xludf.DUMMYFUNCTION("""COMPUTED_VALUE"""),"International Learning Analytics and Knowledge Conference")</f>
        <v>International Learning Analytics and Knowledge Conference</v>
      </c>
      <c r="C490" s="2" t="str">
        <f>IFERROR(__xludf.DUMMYFUNCTION("""COMPUTED_VALUE"""),"Conferência Internacional sobre Análise de Aprendizado e Conhecimento")</f>
        <v>Conferência Internacional sobre Análise de Aprendizado e Conhecimento</v>
      </c>
    </row>
    <row r="491">
      <c r="A491" s="4" t="s">
        <v>241</v>
      </c>
      <c r="B491" s="2" t="str">
        <f>IFERROR(__xludf.DUMMYFUNCTION("""COMPUTED_VALUE"""),"Latin American Networking Conference")</f>
        <v>Latin American Networking Conference</v>
      </c>
      <c r="C491" s="2" t="str">
        <f>IFERROR(__xludf.DUMMYFUNCTION("""COMPUTED_VALUE"""),"Conferência Latino-Americana de Redes")</f>
        <v>Conferência Latino-Americana de Redes</v>
      </c>
    </row>
    <row r="492">
      <c r="A492" s="5"/>
      <c r="B492" s="2" t="str">
        <f>IFERROR(__xludf.DUMMYFUNCTION("""COMPUTED_VALUE"""),"IEEE Latin American Robotics Symposium")</f>
        <v>IEEE Latin American Robotics Symposium</v>
      </c>
      <c r="C492" s="2" t="str">
        <f>IFERROR(__xludf.DUMMYFUNCTION("""COMPUTED_VALUE"""),"Simpósio Latino-Americano de Robótica IEEE")</f>
        <v>Simpósio Latino-Americano de Robótica IEEE</v>
      </c>
    </row>
    <row r="493">
      <c r="A493" s="4" t="s">
        <v>242</v>
      </c>
      <c r="B493" s="2" t="str">
        <f>IFERROR(__xludf.DUMMYFUNCTION("""COMPUTED_VALUE"""),"IEEE Latin American Symposium on Circuits and Systems")</f>
        <v>IEEE Latin American Symposium on Circuits and Systems</v>
      </c>
      <c r="C493" s="2" t="str">
        <f>IFERROR(__xludf.DUMMYFUNCTION("""COMPUTED_VALUE"""),"Simpósio Latino-Americano de Circuitos e Sistemas IEEE")</f>
        <v>Simpósio Latino-Americano de Circuitos e Sistemas IEEE</v>
      </c>
    </row>
    <row r="494">
      <c r="A494" s="5"/>
      <c r="B494" s="2" t="str">
        <f>IFERROR(__xludf.DUMMYFUNCTION("""COMPUTED_VALUE"""),"Latin American Theoretical Informatics Symposium")</f>
        <v>Latin American Theoretical Informatics Symposium</v>
      </c>
      <c r="C494" s="2" t="str">
        <f>IFERROR(__xludf.DUMMYFUNCTION("""COMPUTED_VALUE"""),"Simpósio Latino-Americano de Informática Teórica")</f>
        <v>Simpósio Latino-Americano de Informática Teórica</v>
      </c>
    </row>
    <row r="495">
      <c r="A495" s="4" t="s">
        <v>243</v>
      </c>
      <c r="B495" s="2" t="str">
        <f>IFERROR(__xludf.DUMMYFUNCTION("""COMPUTED_VALUE"""),"IEEE Latin-American Conference on Communications")</f>
        <v>IEEE Latin-American Conference on Communications</v>
      </c>
      <c r="C495" s="2" t="str">
        <f>IFERROR(__xludf.DUMMYFUNCTION("""COMPUTED_VALUE"""),"Conferência Latino-Americana de Comunicações IEEE")</f>
        <v>Conferência Latino-Americana de Comunicações IEEE</v>
      </c>
    </row>
    <row r="496">
      <c r="A496" s="5"/>
      <c r="B496" s="2" t="str">
        <f>IFERROR(__xludf.DUMMYFUNCTION("""COMPUTED_VALUE"""),"International Conference on Cryptology and Information Security in Latin America")</f>
        <v>International Conference on Cryptology and Information Security in Latin America</v>
      </c>
      <c r="C496" s="2" t="str">
        <f>IFERROR(__xludf.DUMMYFUNCTION("""COMPUTED_VALUE"""),"Conferência Internacional sobre Criptologia e Segurança da Informação na América Latina")</f>
        <v>Conferência Internacional sobre Criptologia e Segurança da Informação na América Latina</v>
      </c>
    </row>
    <row r="497">
      <c r="A497" s="4" t="s">
        <v>244</v>
      </c>
      <c r="B497" s="2" t="str">
        <f>IFERROR(__xludf.DUMMYFUNCTION("""COMPUTED_VALUE"""),"Congresso Latino-americano de Software Livre e Tecnologias Abertas")</f>
        <v>Congresso Latino-americano de Software Livre e Tecnologias Abertas</v>
      </c>
      <c r="C497" s="2" t="str">
        <f>IFERROR(__xludf.DUMMYFUNCTION("""COMPUTED_VALUE"""),"Latin American Congress on Free Software and Open Technologies")</f>
        <v>Latin American Congress on Free Software and Open Technologies</v>
      </c>
    </row>
    <row r="498">
      <c r="A498" s="5"/>
      <c r="B498" s="2" t="str">
        <f>IFERROR(__xludf.DUMMYFUNCTION("""COMPUTED_VALUE"""),"IEEE Latin American Test Symposium")</f>
        <v>IEEE Latin American Test Symposium</v>
      </c>
      <c r="C498" s="2" t="str">
        <f>IFERROR(__xludf.DUMMYFUNCTION("""COMPUTED_VALUE"""),"Simpósio Latino-Americano de Testes IEEE")</f>
        <v>Simpósio Latino-Americano de Testes IEEE</v>
      </c>
    </row>
    <row r="499">
      <c r="A499" s="4" t="s">
        <v>245</v>
      </c>
      <c r="B499" s="2" t="str">
        <f>IFERROR(__xludf.DUMMYFUNCTION("""COMPUTED_VALUE"""),"Linguistic Annotation Workshop")</f>
        <v>Linguistic Annotation Workshop</v>
      </c>
      <c r="C499" s="2" t="str">
        <f>IFERROR(__xludf.DUMMYFUNCTION("""COMPUTED_VALUE"""),"Workshop de Anotação Linguística")</f>
        <v>Workshop de Anotação Linguística</v>
      </c>
    </row>
    <row r="500">
      <c r="A500" s="5"/>
      <c r="B500" s="2" t="str">
        <f>IFERROR(__xludf.DUMMYFUNCTION("""COMPUTED_VALUE"""),"IEEE Conference on Local Computer Networks")</f>
        <v>IEEE Conference on Local Computer Networks</v>
      </c>
      <c r="C500" s="2" t="str">
        <f>IFERROR(__xludf.DUMMYFUNCTION("""COMPUTED_VALUE"""),"Conferência IEEE sobre Redes Locais de Computadores")</f>
        <v>Conferência IEEE sobre Redes Locais de Computadores</v>
      </c>
    </row>
    <row r="501">
      <c r="A501" s="4" t="s">
        <v>246</v>
      </c>
      <c r="B501" s="2" t="str">
        <f>IFERROR(__xludf.DUMMYFUNCTION("""COMPUTED_VALUE"""),"Workshop on Learning with Imbalanced Domains: Theory and Applications")</f>
        <v>Workshop on Learning with Imbalanced Domains: Theory and Applications</v>
      </c>
      <c r="C501" s="2" t="str">
        <f>IFERROR(__xludf.DUMMYFUNCTION("""COMPUTED_VALUE"""),"Workshop sobre Aprendizado com Domínios Desbalanceados: Teoria e Aplicações")</f>
        <v>Workshop sobre Aprendizado com Domínios Desbalanceados: Teoria e Aplicações</v>
      </c>
    </row>
    <row r="502">
      <c r="A502" s="5"/>
      <c r="B502" s="2" t="str">
        <f>IFERROR(__xludf.DUMMYFUNCTION("""COMPUTED_VALUE"""),"International Conference on Language Resources and Evaluation")</f>
        <v>International Conference on Language Resources and Evaluation</v>
      </c>
      <c r="C502" s="2" t="str">
        <f>IFERROR(__xludf.DUMMYFUNCTION("""COMPUTED_VALUE"""),"Conferência Internacional sobre Recursos e Avaliação de Linguagem")</f>
        <v>Conferência Internacional sobre Recursos e Avaliação de Linguagem</v>
      </c>
    </row>
    <row r="503">
      <c r="A503" s="4" t="s">
        <v>247</v>
      </c>
      <c r="B503" s="2" t="str">
        <f>IFERROR(__xludf.DUMMYFUNCTION("""COMPUTED_VALUE"""),"International Workshop on Multi-Agent Based Simulation")</f>
        <v>International Workshop on Multi-Agent Based Simulation</v>
      </c>
      <c r="C503" s="2" t="str">
        <f>IFERROR(__xludf.DUMMYFUNCTION("""COMPUTED_VALUE"""),"Workshop Internacional sobre Simulação Baseada em Multiagentes")</f>
        <v>Workshop Internacional sobre Simulação Baseada em Multiagentes</v>
      </c>
    </row>
    <row r="504">
      <c r="A504" s="5"/>
      <c r="B504" s="2" t="str">
        <f>IFERROR(__xludf.DUMMYFUNCTION("""COMPUTED_VALUE"""),"International Symposium on the Modeling, Analysis, and Simulation of Computer and Telecommunication Systems")</f>
        <v>International Symposium on the Modeling, Analysis, and Simulation of Computer and Telecommunication Systems</v>
      </c>
      <c r="C504" s="2" t="str">
        <f>IFERROR(__xludf.DUMMYFUNCTION("""COMPUTED_VALUE"""),"Simpósio Internacional sobre Modelagem, Análise e Simulação de Sistemas de Computação e Telecomunicações")</f>
        <v>Simpósio Internacional sobre Modelagem, Análise e Simulação de Sistemas de Computação e Telecomunicações</v>
      </c>
    </row>
    <row r="505">
      <c r="A505" s="4" t="s">
        <v>248</v>
      </c>
      <c r="B505" s="2" t="str">
        <f>IFERROR(__xludf.DUMMYFUNCTION("""COMPUTED_VALUE"""),"World Congress on Medical and Health Informatics")</f>
        <v>World Congress on Medical and Health Informatics</v>
      </c>
      <c r="C505" s="2" t="str">
        <f>IFERROR(__xludf.DUMMYFUNCTION("""COMPUTED_VALUE"""),"Congresso Mundial de Informática Médica e de Saúde")</f>
        <v>Congresso Mundial de Informática Médica e de Saúde</v>
      </c>
    </row>
    <row r="506">
      <c r="A506" s="5"/>
      <c r="B506" s="2" t="str">
        <f>IFERROR(__xludf.DUMMYFUNCTION("""COMPUTED_VALUE"""),"IEEE International Symposium on Medical Measurements and Applications")</f>
        <v>IEEE International Symposium on Medical Measurements and Applications</v>
      </c>
      <c r="C506" s="2" t="str">
        <f>IFERROR(__xludf.DUMMYFUNCTION("""COMPUTED_VALUE"""),"Simpósio Internacional IEEE sobre Medições Médicas e Aplicações")</f>
        <v>Simpósio Internacional IEEE sobre Medições Médicas e Aplicações</v>
      </c>
    </row>
    <row r="507">
      <c r="A507" s="4" t="s">
        <v>249</v>
      </c>
      <c r="B507" s="2" t="str">
        <f>IFERROR(__xludf.DUMMYFUNCTION("""COMPUTED_VALUE"""),"International Symposium on Memory Systems")</f>
        <v>International Symposium on Memory Systems</v>
      </c>
      <c r="C507" s="2" t="str">
        <f>IFERROR(__xludf.DUMMYFUNCTION("""COMPUTED_VALUE"""),"Simpósio Internacional sobre Sistemas de Memória")</f>
        <v>Simpósio Internacional sobre Sistemas de Memória</v>
      </c>
    </row>
    <row r="508">
      <c r="A508" s="5"/>
      <c r="B508" s="2" t="str">
        <f>IFERROR(__xludf.DUMMYFUNCTION("""COMPUTED_VALUE"""),"International Symposium on Mathematical Foundations of Computer Science")</f>
        <v>International Symposium on Mathematical Foundations of Computer Science</v>
      </c>
      <c r="C508" s="2" t="str">
        <f>IFERROR(__xludf.DUMMYFUNCTION("""COMPUTED_VALUE"""),"Simpósio Internacional sobre Fundamentos Matemáticos da Ciência da Computação")</f>
        <v>Simpósio Internacional sobre Fundamentos Matemáticos da Ciência da Computação</v>
      </c>
    </row>
    <row r="509">
      <c r="A509" s="4" t="s">
        <v>250</v>
      </c>
      <c r="B509" s="2" t="str">
        <f>IFERROR(__xludf.DUMMYFUNCTION("""COMPUTED_VALUE"""),"IEEE International Conference on Multisensor Fusion and Integration for Intelligent Systems")</f>
        <v>IEEE International Conference on Multisensor Fusion and Integration for Intelligent Systems</v>
      </c>
      <c r="C509" s="2" t="str">
        <f>IFERROR(__xludf.DUMMYFUNCTION("""COMPUTED_VALUE"""),"Conferência Internacional IEEE sobre Fusão e Integração de Sensores para Sistemas Inteligentes")</f>
        <v>Conferência Internacional IEEE sobre Fusão e Integração de Sensores para Sistemas Inteligentes</v>
      </c>
    </row>
    <row r="510">
      <c r="A510" s="5"/>
      <c r="B510" s="2" t="str">
        <f>IFERROR(__xludf.DUMMYFUNCTION("""COMPUTED_VALUE"""),"Metaheuristics International Conference")</f>
        <v>Metaheuristics International Conference</v>
      </c>
      <c r="C510" s="2" t="str">
        <f>IFERROR(__xludf.DUMMYFUNCTION("""COMPUTED_VALUE"""),"Conferência Internacional de Metaheurísticas")</f>
        <v>Conferência Internacional de Metaheurísticas</v>
      </c>
    </row>
    <row r="511">
      <c r="A511" s="4" t="s">
        <v>251</v>
      </c>
      <c r="B511" s="2" t="str">
        <f>IFERROR(__xludf.DUMMYFUNCTION("""COMPUTED_VALUE"""),"Mexican International Conference on Artificial Intelligence")</f>
        <v>Mexican International Conference on Artificial Intelligence</v>
      </c>
      <c r="C511" s="2" t="str">
        <f>IFERROR(__xludf.DUMMYFUNCTION("""COMPUTED_VALUE"""),"Conferência Internacional Mexicana sobre Inteligência Artificial")</f>
        <v>Conferência Internacional Mexicana sobre Inteligência Artificial</v>
      </c>
    </row>
    <row r="512">
      <c r="A512" s="5"/>
      <c r="B512" s="2" t="str">
        <f>IFERROR(__xludf.DUMMYFUNCTION("""COMPUTED_VALUE"""),"International Conference on Medical Image Computing and Computer Assisted Intervention")</f>
        <v>International Conference on Medical Image Computing and Computer Assisted Intervention</v>
      </c>
      <c r="C512" s="2" t="str">
        <f>IFERROR(__xludf.DUMMYFUNCTION("""COMPUTED_VALUE"""),"Conferência Internacional sobre Computação de Imagem Médica e Intervenção Assistida por Computador")</f>
        <v>Conferência Internacional sobre Computação de Imagem Médica e Intervenção Assistida por Computador</v>
      </c>
    </row>
    <row r="513">
      <c r="A513" s="4" t="s">
        <v>252</v>
      </c>
      <c r="B513" s="2" t="str">
        <f>IFERROR(__xludf.DUMMYFUNCTION("""COMPUTED_VALUE"""),"International Middleware Conference")</f>
        <v>International Middleware Conference</v>
      </c>
      <c r="C513" s="2" t="str">
        <f>IFERROR(__xludf.DUMMYFUNCTION("""COMPUTED_VALUE"""),"Conferência Internacional de Middleware")</f>
        <v>Conferência Internacional de Middleware</v>
      </c>
    </row>
    <row r="514">
      <c r="A514" s="5"/>
      <c r="B514" s="2" t="str">
        <f>IFERROR(__xludf.DUMMYFUNCTION("""COMPUTED_VALUE"""),"Military Communications Conference")</f>
        <v>Military Communications Conference</v>
      </c>
      <c r="C514" s="2" t="str">
        <f>IFERROR(__xludf.DUMMYFUNCTION("""COMPUTED_VALUE"""),"Conferência de Comunicações Militares")</f>
        <v>Conferência de Comunicações Militares</v>
      </c>
    </row>
    <row r="515">
      <c r="A515" s="4" t="s">
        <v>253</v>
      </c>
      <c r="B515" s="2" t="str">
        <f>IFERROR(__xludf.DUMMYFUNCTION("""COMPUTED_VALUE"""),"International Conference on Machine Learning and Data Mining in Pattern Recognition")</f>
        <v>International Conference on Machine Learning and Data Mining in Pattern Recognition</v>
      </c>
      <c r="C515" s="2" t="str">
        <f>IFERROR(__xludf.DUMMYFUNCTION("""COMPUTED_VALUE"""),"Conferência Internacional sobre Aprendizado de Máquina e Mineração de Dados em Reconhecimento de Padrões")</f>
        <v>Conferência Internacional sobre Aprendizado de Máquina e Mineração de Dados em Reconhecimento de Padrões</v>
      </c>
    </row>
    <row r="516">
      <c r="A516" s="5"/>
      <c r="B516" s="2" t="str">
        <f>IFERROR(__xludf.DUMMYFUNCTION("""COMPUTED_VALUE"""),"Conference on Machine Learning and Systems")</f>
        <v>Conference on Machine Learning and Systems</v>
      </c>
      <c r="C516" s="2" t="str">
        <f>IFERROR(__xludf.DUMMYFUNCTION("""COMPUTED_VALUE"""),"Conferência sobre Aprendizado de Máquina e Sistemas")</f>
        <v>Conferência sobre Aprendizado de Máquina e Sistemas</v>
      </c>
    </row>
    <row r="517">
      <c r="A517" s="4" t="s">
        <v>254</v>
      </c>
      <c r="B517" s="2" t="str">
        <f>IFERROR(__xludf.DUMMYFUNCTION("""COMPUTED_VALUE"""),"IEEE International Workshop on Machine Learning for Signal Processing")</f>
        <v>IEEE International Workshop on Machine Learning for Signal Processing</v>
      </c>
      <c r="C517" s="2" t="str">
        <f>IFERROR(__xludf.DUMMYFUNCTION("""COMPUTED_VALUE"""),"Workshop Internacional IEEE sobre Aprendizado de Máquina para Processamento de Sinais")</f>
        <v>Workshop Internacional IEEE sobre Aprendizado de Máquina para Processamento de Sinais</v>
      </c>
    </row>
    <row r="518">
      <c r="A518" s="5"/>
      <c r="B518" s="2" t="str">
        <f>IFERROR(__xludf.DUMMYFUNCTION("""COMPUTED_VALUE"""),"International Conference on Methods and Models in Automation and Robotics")</f>
        <v>International Conference on Methods and Models in Automation and Robotics</v>
      </c>
      <c r="C518" s="2" t="str">
        <f>IFERROR(__xludf.DUMMYFUNCTION("""COMPUTED_VALUE"""),"Conferência Internacional sobre Métodos e Modelos em Automação e Robótica")</f>
        <v>Conferência Internacional sobre Métodos e Modelos em Automação e Robótica</v>
      </c>
    </row>
    <row r="519">
      <c r="A519" s="4" t="s">
        <v>255</v>
      </c>
      <c r="B519" s="2" t="str">
        <f>IFERROR(__xludf.DUMMYFUNCTION("""COMPUTED_VALUE"""),"International Conference on Multimedia Modelling")</f>
        <v>International Conference on Multimedia Modelling</v>
      </c>
      <c r="C519" s="2" t="str">
        <f>IFERROR(__xludf.DUMMYFUNCTION("""COMPUTED_VALUE"""),"Conferência Internacional sobre Modelagem Multimídia")</f>
        <v>Conferência Internacional sobre Modelagem Multimídia</v>
      </c>
    </row>
    <row r="520">
      <c r="A520" s="5"/>
      <c r="B520" s="2" t="str">
        <f>IFERROR(__xludf.DUMMYFUNCTION("""COMPUTED_VALUE"""),"International Workshop on Multimedia and Signal Processing")</f>
        <v>International Workshop on Multimedia and Signal Processing</v>
      </c>
      <c r="C520" s="2" t="str">
        <f>IFERROR(__xludf.DUMMYFUNCTION("""COMPUTED_VALUE"""),"Workshop Internacional sobre Multimídia e Processamento de Sinais")</f>
        <v>Workshop Internacional sobre Multimídia e Processamento de Sinais</v>
      </c>
    </row>
    <row r="521">
      <c r="A521" s="4" t="s">
        <v>256</v>
      </c>
      <c r="B521" s="2" t="str">
        <f>IFERROR(__xludf.DUMMYFUNCTION("""COMPUTED_VALUE"""),"ACM Multimedia Systems Conference")</f>
        <v>ACM Multimedia Systems Conference</v>
      </c>
      <c r="C521" s="2" t="str">
        <f>IFERROR(__xludf.DUMMYFUNCTION("""COMPUTED_VALUE"""),"Conferência ACM sobre Sistemas Multimídia")</f>
        <v>Conferência ACM sobre Sistemas Multimídia</v>
      </c>
    </row>
    <row r="522">
      <c r="A522" s="5"/>
      <c r="B522" s="2" t="str">
        <f>IFERROR(__xludf.DUMMYFUNCTION("""COMPUTED_VALUE"""),"ACM/IEEE International Conference on Mobile Computing and Networking")</f>
        <v>ACM/IEEE International Conference on Mobile Computing and Networking</v>
      </c>
      <c r="C522" s="2" t="str">
        <f>IFERROR(__xludf.DUMMYFUNCTION("""COMPUTED_VALUE"""),"Conferência Internacional ACM/IEEE sobre Computação e Redes Móveis")</f>
        <v>Conferência Internacional ACM/IEEE sobre Computação e Redes Móveis</v>
      </c>
    </row>
    <row r="523">
      <c r="A523" s="4" t="s">
        <v>257</v>
      </c>
      <c r="B523" s="2" t="str">
        <f>IFERROR(__xludf.DUMMYFUNCTION("""COMPUTED_VALUE"""),"EAI International Conference on Wireless Mobile Communication and Healthcare")</f>
        <v>EAI International Conference on Wireless Mobile Communication and Healthcare</v>
      </c>
      <c r="C523" s="2" t="str">
        <f>IFERROR(__xludf.DUMMYFUNCTION("""COMPUTED_VALUE"""),"Conferência Internacional EAI sobre Comunicação Móvel Sem Fio e Saúde")</f>
        <v>Conferência Internacional EAI sobre Comunicação Móvel Sem Fio e Saúde</v>
      </c>
    </row>
    <row r="524">
      <c r="A524" s="5"/>
      <c r="B524" s="2" t="str">
        <f>IFERROR(__xludf.DUMMYFUNCTION("""COMPUTED_VALUE"""),"International Conference on Mobile Software Engineering and Systems")</f>
        <v>International Conference on Mobile Software Engineering and Systems</v>
      </c>
      <c r="C524" s="2" t="str">
        <f>IFERROR(__xludf.DUMMYFUNCTION("""COMPUTED_VALUE"""),"Conferência Internacional sobre Engenharia e Sistemas de Software Móvel")</f>
        <v>Conferência Internacional sobre Engenharia e Sistemas de Software Móvel</v>
      </c>
    </row>
    <row r="525">
      <c r="A525" s="4" t="s">
        <v>258</v>
      </c>
      <c r="B525" s="2" t="str">
        <f>IFERROR(__xludf.DUMMYFUNCTION("""COMPUTED_VALUE"""),"EAI International Conference on Mobile and Ubiquitous Systems: Computing, Networking and Services")</f>
        <v>EAI International Conference on Mobile and Ubiquitous Systems: Computing, Networking and Services</v>
      </c>
      <c r="C525" s="2" t="str">
        <f>IFERROR(__xludf.DUMMYFUNCTION("""COMPUTED_VALUE"""),"Conferência Internacional EAI sobre Sistemas Móveis e Ubíquos: Computação, Redes e Serviços")</f>
        <v>Conferência Internacional EAI sobre Sistemas Móveis e Ubíquos: Computação, Redes e Serviços</v>
      </c>
    </row>
    <row r="526">
      <c r="A526" s="5"/>
      <c r="B526" s="2" t="str">
        <f>IFERROR(__xludf.DUMMYFUNCTION("""COMPUTED_VALUE"""),"Annual International Conference on Mobile Systems, Applications, and Services")</f>
        <v>Annual International Conference on Mobile Systems, Applications, and Services</v>
      </c>
      <c r="C526" s="2" t="str">
        <f>IFERROR(__xludf.DUMMYFUNCTION("""COMPUTED_VALUE"""),"Conferência Internacional Anual sobre Sistemas, Aplicações e Serviços Móveis")</f>
        <v>Conferência Internacional Anual sobre Sistemas, Aplicações e Serviços Móveis</v>
      </c>
    </row>
    <row r="527">
      <c r="A527" s="4" t="s">
        <v>259</v>
      </c>
      <c r="B527" s="2" t="str">
        <f>IFERROR(__xludf.DUMMYFUNCTION("""COMPUTED_VALUE"""),"ACM International Symposium on Mobility Management and Wireless Access")</f>
        <v>ACM International Symposium on Mobility Management and Wireless Access</v>
      </c>
      <c r="C527" s="2" t="str">
        <f>IFERROR(__xludf.DUMMYFUNCTION("""COMPUTED_VALUE"""),"Simpósio Internacional ACM sobre Gestão de Mobilidade e Acesso Sem Fio")</f>
        <v>Simpósio Internacional ACM sobre Gestão de Mobilidade e Acesso Sem Fio</v>
      </c>
    </row>
    <row r="528">
      <c r="A528" s="5"/>
      <c r="B528" s="2" t="str">
        <f>IFERROR(__xludf.DUMMYFUNCTION("""COMPUTED_VALUE"""),"International Conference on Model Driven Engineering Languages and Systems")</f>
        <v>International Conference on Model Driven Engineering Languages and Systems</v>
      </c>
      <c r="C528" s="2" t="str">
        <f>IFERROR(__xludf.DUMMYFUNCTION("""COMPUTED_VALUE"""),"Conferência Internacional sobre Linguagens e Sistemas de Engenharia Dirigida por Modelos")</f>
        <v>Conferência Internacional sobre Linguagens e Sistemas de Engenharia Dirigida por Modelos</v>
      </c>
    </row>
    <row r="529">
      <c r="A529" s="4" t="s">
        <v>260</v>
      </c>
      <c r="B529" s="2" t="str">
        <f>IFERROR(__xludf.DUMMYFUNCTION("""COMPUTED_VALUE"""),"International Conference on Model-Driven Engineering and Software Development")</f>
        <v>International Conference on Model-Driven Engineering and Software Development</v>
      </c>
      <c r="C529" s="2" t="str">
        <f>IFERROR(__xludf.DUMMYFUNCTION("""COMPUTED_VALUE"""),"Conferência Internacional sobre Engenharia Dirigida por Modelos e Desenvolvimento de Software")</f>
        <v>Conferência Internacional sobre Engenharia Dirigida por Modelos e Desenvolvimento de Software</v>
      </c>
    </row>
    <row r="530">
      <c r="A530" s="5"/>
      <c r="B530" s="2" t="str">
        <f>IFERROR(__xludf.DUMMYFUNCTION("""COMPUTED_VALUE"""),"Working Conference on Mining Software Repositories")</f>
        <v>Working Conference on Mining Software Repositories</v>
      </c>
      <c r="C530" s="2" t="str">
        <f>IFERROR(__xludf.DUMMYFUNCTION("""COMPUTED_VALUE"""),"Conferência de Trabalho sobre Mineração de Repositórios de Software")</f>
        <v>Conferência de Trabalho sobre Mineração de Repositórios de Software</v>
      </c>
    </row>
    <row r="531">
      <c r="A531" s="4" t="s">
        <v>261</v>
      </c>
      <c r="B531" s="2" t="str">
        <f>IFERROR(__xludf.DUMMYFUNCTION("""COMPUTED_VALUE"""),"Workshop deModelagem e Simulação de Sistemas Intensivos em Software")</f>
        <v>Workshop deModelagem e Simulação de Sistemas Intensivos em Software</v>
      </c>
      <c r="C531" s="2" t="str">
        <f>IFERROR(__xludf.DUMMYFUNCTION("""COMPUTED_VALUE"""),"Workshop on Modeling and Simulation of Software-Intensive Systems")</f>
        <v>Workshop on Modeling and Simulation of Software-Intensive Systems</v>
      </c>
    </row>
    <row r="532">
      <c r="A532" s="5"/>
      <c r="B532" s="2" t="str">
        <f>IFERROR(__xludf.DUMMYFUNCTION("""COMPUTED_VALUE"""),"ACM International Conference on Modeling, Analysis and Simulation of Wireless and Mobile Systems")</f>
        <v>ACM International Conference on Modeling, Analysis and Simulation of Wireless and Mobile Systems</v>
      </c>
      <c r="C532" s="2" t="str">
        <f>IFERROR(__xludf.DUMMYFUNCTION("""COMPUTED_VALUE"""),"Conferência Internacional ACM sobre Modelagem, Análise e Simulação de Sistemas Sem Fio e Móveis")</f>
        <v>Conferência Internacional ACM sobre Modelagem, Análise e Simulação de Sistemas Sem Fio e Móveis</v>
      </c>
    </row>
    <row r="533">
      <c r="A533" s="4" t="s">
        <v>262</v>
      </c>
      <c r="B533" s="2" t="str">
        <f>IFERROR(__xludf.DUMMYFUNCTION("""COMPUTED_VALUE"""),"International Conference on Metadata and Semantics Research")</f>
        <v>International Conference on Metadata and Semantics Research</v>
      </c>
      <c r="C533" s="2" t="str">
        <f>IFERROR(__xludf.DUMMYFUNCTION("""COMPUTED_VALUE"""),"Conferência Internacional sobre Pesquisa em Metadados e Semântica")</f>
        <v>Conferência Internacional sobre Pesquisa em Metadados e Semântica</v>
      </c>
    </row>
    <row r="534">
      <c r="A534" s="5"/>
      <c r="B534" s="2" t="str">
        <f>IFERROR(__xludf.DUMMYFUNCTION("""COMPUTED_VALUE"""),"International Midwest Symposium on Circuits and Systems")</f>
        <v>International Midwest Symposium on Circuits and Systems</v>
      </c>
      <c r="C534" s="2" t="str">
        <f>IFERROR(__xludf.DUMMYFUNCTION("""COMPUTED_VALUE"""),"Simpósio Internacional do Meio-Oeste sobre Circuitos e Sistemas")</f>
        <v>Simpósio Internacional do Meio-Oeste sobre Circuitos e Sistemas</v>
      </c>
    </row>
    <row r="535">
      <c r="A535" s="4" t="s">
        <v>263</v>
      </c>
      <c r="B535" s="2" t="str">
        <f>IFERROR(__xludf.DUMMYFUNCTION("""COMPUTED_VALUE"""),"North American Chapter of the Association for Computational Linguistics Annual Meeting")</f>
        <v>North American Chapter of the Association for Computational Linguistics Annual Meeting</v>
      </c>
      <c r="C535" s="2" t="str">
        <f>IFERROR(__xludf.DUMMYFUNCTION("""COMPUTED_VALUE"""),"Reunião Anual do Capítulo Norte-Americano da Associação de Linguística Computacional")</f>
        <v>Reunião Anual do Capítulo Norte-Americano da Associação de Linguística Computacional</v>
      </c>
    </row>
    <row r="536">
      <c r="A536" s="5"/>
      <c r="B536" s="2" t="str">
        <f>IFERROR(__xludf.DUMMYFUNCTION("""COMPUTED_VALUE"""),"IEEE International Symposium on Network Computing and Applications")</f>
        <v>IEEE International Symposium on Network Computing and Applications</v>
      </c>
      <c r="C536" s="2" t="str">
        <f>IFERROR(__xludf.DUMMYFUNCTION("""COMPUTED_VALUE"""),"Simpósio Internacional IEEE sobre Computação em Rede e Aplicações")</f>
        <v>Simpósio Internacional IEEE sobre Computação em Rede e Aplicações</v>
      </c>
    </row>
    <row r="537">
      <c r="A537" s="4" t="s">
        <v>264</v>
      </c>
      <c r="B537" s="2" t="str">
        <f>IFERROR(__xludf.DUMMYFUNCTION("""COMPUTED_VALUE"""),"IEEE Conference on Network Softwarization")</f>
        <v>IEEE Conference on Network Softwarization</v>
      </c>
      <c r="C537" s="2" t="str">
        <f>IFERROR(__xludf.DUMMYFUNCTION("""COMPUTED_VALUE"""),"Conferência IEEE sobre Softwarização de Redes")</f>
        <v>Conferência IEEE sobre Softwarização de Redes</v>
      </c>
    </row>
    <row r="538">
      <c r="A538" s="5"/>
      <c r="B538" s="2" t="str">
        <f>IFERROR(__xludf.DUMMYFUNCTION("""COMPUTED_VALUE"""),"International Conference on Networked Systems")</f>
        <v>International Conference on Networked Systems</v>
      </c>
      <c r="C538" s="2" t="str">
        <f>IFERROR(__xludf.DUMMYFUNCTION("""COMPUTED_VALUE"""),"Conferência Internacional sobre Sistemas em Rede")</f>
        <v>Conferência Internacional sobre Sistemas em Rede</v>
      </c>
    </row>
    <row r="539">
      <c r="A539" s="4" t="s">
        <v>265</v>
      </c>
      <c r="B539" s="2" t="str">
        <f>IFERROR(__xludf.DUMMYFUNCTION("""COMPUTED_VALUE"""),"IFIP Networking Conference")</f>
        <v>IFIP Networking Conference</v>
      </c>
      <c r="C539" s="2" t="str">
        <f>IFERROR(__xludf.DUMMYFUNCTION("""COMPUTED_VALUE"""),"Conferência de Redes IFIP")</f>
        <v>Conferência de Redes IFIP</v>
      </c>
    </row>
    <row r="540">
      <c r="A540" s="5"/>
      <c r="B540" s="2" t="str">
        <f>IFERROR(__xludf.DUMMYFUNCTION("""COMPUTED_VALUE"""),"Neural Information Processing Systems")</f>
        <v>Neural Information Processing Systems</v>
      </c>
      <c r="C540" s="2" t="str">
        <f>IFERROR(__xludf.DUMMYFUNCTION("""COMPUTED_VALUE"""),"Sistemas de Processamento de Informação Neural")</f>
        <v>Sistemas de Processamento de Informação Neural</v>
      </c>
    </row>
    <row r="541">
      <c r="A541" s="4" t="s">
        <v>266</v>
      </c>
      <c r="B541" s="2" t="str">
        <f>IFERROR(__xludf.DUMMYFUNCTION("""COMPUTED_VALUE"""),"IEEE International New Circuits and Systems Conference")</f>
        <v>IEEE International New Circuits and Systems Conference</v>
      </c>
      <c r="C541" s="2" t="str">
        <f>IFERROR(__xludf.DUMMYFUNCTION("""COMPUTED_VALUE"""),"Conferência Internacional IEEE sobre Novos Circuitos e Sistemas")</f>
        <v>Conferência Internacional IEEE sobre Novos Circuitos e Sistemas</v>
      </c>
    </row>
    <row r="542">
      <c r="A542" s="5"/>
      <c r="B542" s="2" t="str">
        <f>IFERROR(__xludf.DUMMYFUNCTION("""COMPUTED_VALUE"""),"IEEE Conference on Network Function Virtualization and Software Defined Networks")</f>
        <v>IEEE Conference on Network Function Virtualization and Software Defined Networks</v>
      </c>
      <c r="C542" s="2" t="str">
        <f>IFERROR(__xludf.DUMMYFUNCTION("""COMPUTED_VALUE"""),"Conferência IEEE sobre Virtualização de Funções de Rede e Redes Definidas por Software")</f>
        <v>Conferência IEEE sobre Virtualização de Funções de Rede e Redes Definidas por Software</v>
      </c>
    </row>
    <row r="543">
      <c r="A543" s="4" t="s">
        <v>267</v>
      </c>
      <c r="B543" s="2" t="str">
        <f>IFERROR(__xludf.DUMMYFUNCTION("""COMPUTED_VALUE"""),"International Conference on New Interfaces for Musical Expression")</f>
        <v>International Conference on New Interfaces for Musical Expression</v>
      </c>
      <c r="C543" s="2" t="str">
        <f>IFERROR(__xludf.DUMMYFUNCTION("""COMPUTED_VALUE"""),"Conferência Internacional sobre Novas Interfaces para Expressão Musical")</f>
        <v>Conferência Internacional sobre Novas Interfaces para Expressão Musical</v>
      </c>
    </row>
    <row r="544">
      <c r="A544" s="5"/>
      <c r="B544" s="2" t="str">
        <f>IFERROR(__xludf.DUMMYFUNCTION("""COMPUTED_VALUE"""),"International Conference on Application of Natural Language to Information Systems")</f>
        <v>International Conference on Application of Natural Language to Information Systems</v>
      </c>
      <c r="C544" s="2" t="str">
        <f>IFERROR(__xludf.DUMMYFUNCTION("""COMPUTED_VALUE"""),"Conferência Internacional sobre Aplicação de Linguagem Natural a Sistemas de Informação")</f>
        <v>Conferência Internacional sobre Aplicação de Linguagem Natural a Sistemas de Informação</v>
      </c>
    </row>
    <row r="545">
      <c r="A545" s="4" t="s">
        <v>268</v>
      </c>
      <c r="B545" s="2" t="str">
        <f>IFERROR(__xludf.DUMMYFUNCTION("""COMPUTED_VALUE"""),"International Conference on Network of the Future")</f>
        <v>International Conference on Network of the Future</v>
      </c>
      <c r="C545" s="2" t="str">
        <f>IFERROR(__xludf.DUMMYFUNCTION("""COMPUTED_VALUE"""),"Conferência Internacional sobre Rede do Futuro")</f>
        <v>Conferência Internacional sobre Rede do Futuro</v>
      </c>
    </row>
    <row r="546">
      <c r="A546" s="5"/>
      <c r="B546" s="2" t="str">
        <f>IFERROR(__xludf.DUMMYFUNCTION("""COMPUTED_VALUE"""),"IEEE/IFIP Network Operations and Management Symposium")</f>
        <v>IEEE/IFIP Network Operations and Management Symposium</v>
      </c>
      <c r="C546" s="2" t="str">
        <f>IFERROR(__xludf.DUMMYFUNCTION("""COMPUTED_VALUE"""),"Simpósio IEEE/IFIP de Operações e Gestão de Redes")</f>
        <v>Simpósio IEEE/IFIP de Operações e Gestão de Redes</v>
      </c>
    </row>
    <row r="547">
      <c r="A547" s="4" t="s">
        <v>269</v>
      </c>
      <c r="B547" s="2" t="str">
        <f>IFERROR(__xludf.DUMMYFUNCTION("""COMPUTED_VALUE"""),"Nordic Conference on Human-Computer Interaction")</f>
        <v>Nordic Conference on Human-Computer Interaction</v>
      </c>
      <c r="C547" s="2" t="str">
        <f>IFERROR(__xludf.DUMMYFUNCTION("""COMPUTED_VALUE"""),"Conferência Nórdica sobre Interação Humano-Computador")</f>
        <v>Conferência Nórdica sobre Interação Humano-Computador</v>
      </c>
    </row>
    <row r="548">
      <c r="A548" s="5"/>
      <c r="B548" s="2" t="str">
        <f>IFERROR(__xludf.DUMMYFUNCTION("""COMPUTED_VALUE"""),"IFIP International Conference on New Technologies, Mobility and Security")</f>
        <v>IFIP International Conference on New Technologies, Mobility and Security</v>
      </c>
      <c r="C548" s="2" t="str">
        <f>IFERROR(__xludf.DUMMYFUNCTION("""COMPUTED_VALUE"""),"Conferência Internacional IFIP sobre Novas Tecnologias, Mobilidade e Segurança")</f>
        <v>Conferência Internacional IFIP sobre Novas Tecnologias, Mobilidade e Segurança</v>
      </c>
    </row>
    <row r="549">
      <c r="A549" s="4" t="s">
        <v>270</v>
      </c>
      <c r="B549" s="2" t="str">
        <f>IFERROR(__xludf.DUMMYFUNCTION("""COMPUTED_VALUE"""),"IEEE Oceans Conference")</f>
        <v>IEEE Oceans Conference</v>
      </c>
      <c r="C549" s="2" t="str">
        <f>IFERROR(__xludf.DUMMYFUNCTION("""COMPUTED_VALUE"""),"Conferência IEEE Oceans")</f>
        <v>Conferência IEEE Oceans</v>
      </c>
    </row>
    <row r="550">
      <c r="A550" s="5"/>
      <c r="B550" s="2" t="str">
        <f>IFERROR(__xludf.DUMMYFUNCTION("""COMPUTED_VALUE"""),"International Workshop on Ontology Matching")</f>
        <v>International Workshop on Ontology Matching</v>
      </c>
      <c r="C550" s="2" t="str">
        <f>IFERROR(__xludf.DUMMYFUNCTION("""COMPUTED_VALUE"""),"Workshop Internacional sobre Correspondência de Ontologias")</f>
        <v>Workshop Internacional sobre Correspondência de Ontologias</v>
      </c>
    </row>
    <row r="551">
      <c r="A551" s="4" t="s">
        <v>271</v>
      </c>
      <c r="B551" s="2" t="str">
        <f>IFERROR(__xludf.DUMMYFUNCTION("""COMPUTED_VALUE"""),"Conference on Optical Network Design and Modeling")</f>
        <v>Conference on Optical Network Design and Modeling</v>
      </c>
      <c r="C551" s="2" t="str">
        <f>IFERROR(__xludf.DUMMYFUNCTION("""COMPUTED_VALUE"""),"Conferência sobre Design e Modelagem de Redes Ópticas")</f>
        <v>Conferência sobre Design e Modelagem de Redes Ópticas</v>
      </c>
    </row>
    <row r="552">
      <c r="A552" s="5"/>
      <c r="B552" s="2" t="str">
        <f>IFERROR(__xludf.DUMMYFUNCTION("""COMPUTED_VALUE"""),"Seminar on Ontology Research in Brazil")</f>
        <v>Seminar on Ontology Research in Brazil</v>
      </c>
      <c r="C552" s="2" t="str">
        <f>IFERROR(__xludf.DUMMYFUNCTION("""COMPUTED_VALUE"""),"Seminário de Pesquisa em Ontologia no Brasil")</f>
        <v>Seminário de Pesquisa em Ontologia no Brasil</v>
      </c>
    </row>
    <row r="553">
      <c r="A553" s="4" t="s">
        <v>272</v>
      </c>
      <c r="B553" s="2" t="str">
        <f>IFERROR(__xludf.DUMMYFUNCTION("""COMPUTED_VALUE"""),"Conference on Object-Oriented Programming Systems, Languages, and Applications")</f>
        <v>Conference on Object-Oriented Programming Systems, Languages, and Applications</v>
      </c>
      <c r="C553" s="2" t="str">
        <f>IFERROR(__xludf.DUMMYFUNCTION("""COMPUTED_VALUE"""),"Conferência sobre Sistemas, Linguagens e Aplicações de Programação Orientada a Objetos")</f>
        <v>Conferência sobre Sistemas, Linguagens e Aplicações de Programação Orientada a Objetos</v>
      </c>
    </row>
    <row r="554">
      <c r="A554" s="5"/>
      <c r="B554" s="2" t="str">
        <f>IFERROR(__xludf.DUMMYFUNCTION("""COMPUTED_VALUE"""),"Workshop de Práticas de Ciência Aberta Para Engenharia de Software")</f>
        <v>Workshop de Práticas de Ciência Aberta Para Engenharia de Software</v>
      </c>
      <c r="C554" s="2" t="str">
        <f>IFERROR(__xludf.DUMMYFUNCTION("""COMPUTED_VALUE"""),"Workshop on Open Science Practices for Software Engineering")</f>
        <v>Workshop on Open Science Practices for Software Engineering</v>
      </c>
    </row>
    <row r="555">
      <c r="A555" s="4" t="s">
        <v>273</v>
      </c>
      <c r="B555" s="2" t="str">
        <f>IFERROR(__xludf.DUMMYFUNCTION("""COMPUTED_VALUE"""),"International Symposium on Open Collaboration")</f>
        <v>International Symposium on Open Collaboration</v>
      </c>
      <c r="C555" s="2" t="str">
        <f>IFERROR(__xludf.DUMMYFUNCTION("""COMPUTED_VALUE"""),"Simpósio Internacional sobre Colaboração Aberta")</f>
        <v>Simpósio Internacional sobre Colaboração Aberta</v>
      </c>
    </row>
    <row r="556">
      <c r="A556" s="5"/>
      <c r="B556" s="2" t="str">
        <f>IFERROR(__xludf.DUMMYFUNCTION("""COMPUTED_VALUE"""),"International Conference on Open Source Systems")</f>
        <v>International Conference on Open Source Systems</v>
      </c>
      <c r="C556" s="2" t="str">
        <f>IFERROR(__xludf.DUMMYFUNCTION("""COMPUTED_VALUE"""),"Conferência Internacional sobre Sistemas de Código Aberto")</f>
        <v>Conferência Internacional sobre Sistemas de Código Aberto</v>
      </c>
    </row>
    <row r="557">
      <c r="A557" s="4" t="s">
        <v>274</v>
      </c>
      <c r="B557" s="2" t="str">
        <f>IFERROR(__xludf.DUMMYFUNCTION("""COMPUTED_VALUE"""),"Australian Conference on Human-Computer Interaction")</f>
        <v>Australian Conference on Human-Computer Interaction</v>
      </c>
      <c r="C557" s="2" t="str">
        <f>IFERROR(__xludf.DUMMYFUNCTION("""COMPUTED_VALUE"""),"Conferência Australiana sobre Interação Humano-Computador")</f>
        <v>Conferência Australiana sobre Interação Humano-Computador</v>
      </c>
    </row>
    <row r="558">
      <c r="A558" s="5"/>
      <c r="B558" s="2" t="str">
        <f>IFERROR(__xludf.DUMMYFUNCTION("""COMPUTED_VALUE"""),"International Conference on Practical Applications of Agents, Multi-Agent Systems and Sustainability")</f>
        <v>International Conference on Practical Applications of Agents, Multi-Agent Systems and Sustainability</v>
      </c>
      <c r="C558" s="2" t="str">
        <f>IFERROR(__xludf.DUMMYFUNCTION("""COMPUTED_VALUE"""),"Conferência Internacional sobre Aplicações Práticas de Agentes, Sistemas Multiagentes e Sustentabilidade")</f>
        <v>Conferência Internacional sobre Aplicações Práticas de Agentes, Sistemas Multiagentes e Sustentabilidade</v>
      </c>
    </row>
    <row r="559">
      <c r="A559" s="4" t="s">
        <v>275</v>
      </c>
      <c r="B559" s="2" t="str">
        <f>IFERROR(__xludf.DUMMYFUNCTION("""COMPUTED_VALUE"""),"International Conference on Practical Applications of Computational Biology &amp; Bioinformatics")</f>
        <v>International Conference on Practical Applications of Computational Biology &amp; Bioinformatics</v>
      </c>
      <c r="C559" s="2" t="str">
        <f>IFERROR(__xludf.DUMMYFUNCTION("""COMPUTED_VALUE"""),"Conferência Internacional sobre Aplicações Práticas de Biologia Computacional e Bioinformática")</f>
        <v>Conferência Internacional sobre Aplicações Práticas de Biologia Computacional e Bioinformática</v>
      </c>
    </row>
    <row r="560">
      <c r="A560" s="5"/>
      <c r="B560" s="2" t="str">
        <f>IFERROR(__xludf.DUMMYFUNCTION("""COMPUTED_VALUE"""),"Pacific Asia Conference on Information Systems")</f>
        <v>Pacific Asia Conference on Information Systems</v>
      </c>
      <c r="C560" s="2" t="str">
        <f>IFERROR(__xludf.DUMMYFUNCTION("""COMPUTED_VALUE"""),"Conferência da Ásia-Pacífico sobre Sistemas de Informação")</f>
        <v>Conferência da Ásia-Pacífico sobre Sistemas de Informação</v>
      </c>
    </row>
    <row r="561">
      <c r="A561" s="4" t="s">
        <v>276</v>
      </c>
      <c r="B561" s="2" t="str">
        <f>IFERROR(__xludf.DUMMYFUNCTION("""COMPUTED_VALUE"""),"International Conference on Parallel Architectures and Compilation Techniques")</f>
        <v>International Conference on Parallel Architectures and Compilation Techniques</v>
      </c>
      <c r="C561" s="2" t="str">
        <f>IFERROR(__xludf.DUMMYFUNCTION("""COMPUTED_VALUE"""),"Conferência Internacional sobre Arquiteturas Paralelas e Técnicas de Compilação")</f>
        <v>Conferência Internacional sobre Arquiteturas Paralelas e Técnicas de Compilação</v>
      </c>
    </row>
    <row r="562">
      <c r="A562" s="5"/>
      <c r="B562" s="2" t="str">
        <f>IFERROR(__xludf.DUMMYFUNCTION("""COMPUTED_VALUE"""),"Pacific-Asia Conference on Knowledge Discovery and Data Mining")</f>
        <v>Pacific-Asia Conference on Knowledge Discovery and Data Mining</v>
      </c>
      <c r="C562" s="2" t="str">
        <f>IFERROR(__xludf.DUMMYFUNCTION("""COMPUTED_VALUE"""),"Conferência da Ásia-Pacífico sobre Descoberta de Conhecimento e Mineração de Dados")</f>
        <v>Conferência da Ásia-Pacífico sobre Descoberta de Conhecimento e Mineração de Dados</v>
      </c>
    </row>
    <row r="563">
      <c r="A563" s="4" t="s">
        <v>277</v>
      </c>
      <c r="B563" s="2" t="str">
        <f>IFERROR(__xludf.DUMMYFUNCTION("""COMPUTED_VALUE"""),"Passive and Active Network Measurement Conference")</f>
        <v>Passive and Active Network Measurement Conference</v>
      </c>
      <c r="C563" s="2" t="str">
        <f>IFERROR(__xludf.DUMMYFUNCTION("""COMPUTED_VALUE"""),"Conferência sobre Medição de Rede Passiva e Ativa")</f>
        <v>Conferência sobre Medição de Rede Passiva e Ativa</v>
      </c>
    </row>
    <row r="564">
      <c r="A564" s="5"/>
      <c r="B564" s="2" t="str">
        <f>IFERROR(__xludf.DUMMYFUNCTION("""COMPUTED_VALUE"""),"Picture Coding Symposium")</f>
        <v>Picture Coding Symposium</v>
      </c>
      <c r="C564" s="2" t="str">
        <f>IFERROR(__xludf.DUMMYFUNCTION("""COMPUTED_VALUE"""),"Simpósio de Codificação de Imagem")</f>
        <v>Simpósio de Codificação de Imagem</v>
      </c>
    </row>
    <row r="565">
      <c r="A565" s="4" t="s">
        <v>278</v>
      </c>
      <c r="B565" s="2" t="str">
        <f>IFERROR(__xludf.DUMMYFUNCTION("""COMPUTED_VALUE"""),"Euromicro International Conference on Parallel, Distributed and Network-Based Processing")</f>
        <v>Euromicro International Conference on Parallel, Distributed and Network-Based Processing</v>
      </c>
      <c r="C565" s="2" t="str">
        <f>IFERROR(__xludf.DUMMYFUNCTION("""COMPUTED_VALUE"""),"Conferência Internacional Euromicro sobre Processamento Paralelo, Distribuído e Baseado em Rede")</f>
        <v>Conferência Internacional Euromicro sobre Processamento Paralelo, Distribuído e Baseado em Rede</v>
      </c>
    </row>
    <row r="566">
      <c r="A566" s="5"/>
      <c r="B566" s="2" t="str">
        <f>IFERROR(__xludf.DUMMYFUNCTION("""COMPUTED_VALUE"""),"ACM International Symposium on Performance Evaluation of Wireless Ad Hoc, Sensor, and Ubiquitous Networks")</f>
        <v>ACM International Symposium on Performance Evaluation of Wireless Ad Hoc, Sensor, and Ubiquitous Networks</v>
      </c>
      <c r="C566" s="2" t="str">
        <f>IFERROR(__xludf.DUMMYFUNCTION("""COMPUTED_VALUE"""),"Simpósio Internacional ACM sobre Avaliação de Desempenho de Redes Sem Fio Ad Hoc, Sensores e Ubíquas")</f>
        <v>Simpósio Internacional ACM sobre Avaliação de Desempenho de Redes Sem Fio Ad Hoc, Sensores e Ubíquas</v>
      </c>
    </row>
    <row r="567">
      <c r="A567" s="4" t="s">
        <v>279</v>
      </c>
      <c r="B567" s="2" t="str">
        <f>IFERROR(__xludf.DUMMYFUNCTION("""COMPUTED_VALUE"""),"International Conference on Pervasive Computing and Communications Companion")</f>
        <v>International Conference on Pervasive Computing and Communications Companion</v>
      </c>
      <c r="C567" s="2" t="str">
        <f>IFERROR(__xludf.DUMMYFUNCTION("""COMPUTED_VALUE"""),"Conferência Internacional sobre Computação e Comunicações Pervasivas (Complementar)")</f>
        <v>Conferência Internacional sobre Computação e Comunicações Pervasivas (Complementar)</v>
      </c>
    </row>
    <row r="568">
      <c r="A568" s="5"/>
      <c r="B568" s="2" t="str">
        <f>IFERROR(__xludf.DUMMYFUNCTION("""COMPUTED_VALUE"""),"International Conference on Pervasive Computing Technologies for Healthcare")</f>
        <v>International Conference on Pervasive Computing Technologies for Healthcare</v>
      </c>
      <c r="C568" s="2" t="str">
        <f>IFERROR(__xludf.DUMMYFUNCTION("""COMPUTED_VALUE"""),"Conferência Internacional sobre Tecnologias de Computação Pervasiva para Saúde")</f>
        <v>Conferência Internacional sobre Tecnologias de Computação Pervasiva para Saúde</v>
      </c>
    </row>
    <row r="569">
      <c r="A569" s="4" t="s">
        <v>280</v>
      </c>
      <c r="B569" s="2" t="str">
        <f>IFERROR(__xludf.DUMMYFUNCTION("""COMPUTED_VALUE"""),"ACM International Conference on PErvasive Technologies Related to Assistive Environments")</f>
        <v>ACM International Conference on PErvasive Technologies Related to Assistive Environments</v>
      </c>
      <c r="C569" s="2" t="str">
        <f>IFERROR(__xludf.DUMMYFUNCTION("""COMPUTED_VALUE"""),"Conferência Internacional ACM sobre Tecnologias Pervasivas Relacionadas a Ambientes Assistivos")</f>
        <v>Conferência Internacional ACM sobre Tecnologias Pervasivas Relacionadas a Ambientes Assistivos</v>
      </c>
    </row>
    <row r="570">
      <c r="A570" s="5"/>
      <c r="B570" s="2" t="str">
        <f>IFERROR(__xludf.DUMMYFUNCTION("""COMPUTED_VALUE"""),"International Symposium on Personal, Indoor and Mobile Radio Communications")</f>
        <v>International Symposium on Personal, Indoor and Mobile Radio Communications</v>
      </c>
      <c r="C570" s="2" t="str">
        <f>IFERROR(__xludf.DUMMYFUNCTION("""COMPUTED_VALUE"""),"Simpósio Internacional sobre Comunicações Pessoais, Internas e Rádio Móvel")</f>
        <v>Simpósio Internacional sobre Comunicações Pessoais, Internas e Rádio Móvel</v>
      </c>
    </row>
    <row r="571">
      <c r="A571" s="4" t="s">
        <v>281</v>
      </c>
      <c r="B571" s="2" t="str">
        <f>IFERROR(__xludf.DUMMYFUNCTION("""COMPUTED_VALUE"""),"International Conference on Practice and Theory in Public Key Cryptography")</f>
        <v>International Conference on Practice and Theory in Public Key Cryptography</v>
      </c>
      <c r="C571" s="2" t="str">
        <f>IFERROR(__xludf.DUMMYFUNCTION("""COMPUTED_VALUE"""),"Conferência Internacional sobre Prática e Teoria em Criptografia de Chave Pública")</f>
        <v>Conferência Internacional sobre Prática e Teoria em Criptografia de Chave Pública</v>
      </c>
    </row>
    <row r="572">
      <c r="A572" s="5"/>
      <c r="B572" s="2" t="str">
        <f>IFERROR(__xludf.DUMMYFUNCTION("""COMPUTED_VALUE"""),"Conference on Pattern Languages of Programs")</f>
        <v>Conference on Pattern Languages of Programs</v>
      </c>
      <c r="C572" s="2" t="str">
        <f>IFERROR(__xludf.DUMMYFUNCTION("""COMPUTED_VALUE"""),"Conferência sobre Linguagens de Padrões de Programas")</f>
        <v>Conferência sobre Linguagens de Padrões de Programas</v>
      </c>
    </row>
    <row r="573">
      <c r="A573" s="4" t="s">
        <v>282</v>
      </c>
      <c r="B573" s="2" t="str">
        <f>IFERROR(__xludf.DUMMYFUNCTION("""COMPUTED_VALUE"""),"ACM Symposium on Principles of Distributed Computing")</f>
        <v>ACM Symposium on Principles of Distributed Computing</v>
      </c>
      <c r="C573" s="2" t="str">
        <f>IFERROR(__xludf.DUMMYFUNCTION("""COMPUTED_VALUE"""),"Simpósio ACM sobre Princípios de Computação Distribuída")</f>
        <v>Simpósio ACM sobre Princípios de Computação Distribuída</v>
      </c>
    </row>
    <row r="574">
      <c r="A574" s="5"/>
      <c r="B574" s="2" t="str">
        <f>IFERROR(__xludf.DUMMYFUNCTION("""COMPUTED_VALUE"""),"IFIP WG 8.1 Working Conference on the Practice of Enterprise Modelling")</f>
        <v>IFIP WG 8.1 Working Conference on the Practice of Enterprise Modelling</v>
      </c>
      <c r="C574" s="2" t="str">
        <f>IFERROR(__xludf.DUMMYFUNCTION("""COMPUTED_VALUE"""),"Conferência de Trabalho IFIP WG 8.1 sobre a Prática de Modelagem Empresarial")</f>
        <v>Conferência de Trabalho IFIP WG 8.1 sobre a Prática de Modelagem Empresarial</v>
      </c>
    </row>
    <row r="575">
      <c r="A575" s="4" t="s">
        <v>283</v>
      </c>
      <c r="B575" s="2" t="str">
        <f>IFERROR(__xludf.DUMMYFUNCTION("""COMPUTED_VALUE"""),"International Conference on Parallel Processing and Applied Mathematics")</f>
        <v>International Conference on Parallel Processing and Applied Mathematics</v>
      </c>
      <c r="C575" s="2" t="str">
        <f>IFERROR(__xludf.DUMMYFUNCTION("""COMPUTED_VALUE"""),"Conferência Internacional sobre Processamento Paralelo e Matemática Aplicada")</f>
        <v>Conferência Internacional sobre Processamento Paralelo e Matemática Aplicada</v>
      </c>
    </row>
    <row r="576">
      <c r="A576" s="5"/>
      <c r="B576" s="2" t="str">
        <f>IFERROR(__xludf.DUMMYFUNCTION("""COMPUTED_VALUE"""),"International Conference on Parallel Problem Solving from Nature")</f>
        <v>International Conference on Parallel Problem Solving from Nature</v>
      </c>
      <c r="C576" s="2" t="str">
        <f>IFERROR(__xludf.DUMMYFUNCTION("""COMPUTED_VALUE"""),"Conferência Internacional sobre Resolução de Problemas Paralelos a partir da Natureza")</f>
        <v>Conferência Internacional sobre Resolução de Problemas Paralelos a partir da Natureza</v>
      </c>
    </row>
    <row r="577">
      <c r="A577" s="4" t="s">
        <v>284</v>
      </c>
      <c r="B577" s="2" t="str">
        <f>IFERROR(__xludf.DUMMYFUNCTION("""COMPUTED_VALUE"""),"Pacific Rim International Symposium on Dependable Computing")</f>
        <v>Pacific Rim International Symposium on Dependable Computing</v>
      </c>
      <c r="C577" s="2" t="str">
        <f>IFERROR(__xludf.DUMMYFUNCTION("""COMPUTED_VALUE"""),"Simpósio Internacional da Bacia do Pacífico sobre Computação Confiável")</f>
        <v>Simpósio Internacional da Bacia do Pacífico sobre Computação Confiável</v>
      </c>
    </row>
    <row r="578">
      <c r="A578" s="5"/>
      <c r="B578" s="2" t="str">
        <f>IFERROR(__xludf.DUMMYFUNCTION("""COMPUTED_VALUE"""),"nternational Conference on Principles and Practice of Multi-Agent Systems")</f>
        <v>nternational Conference on Principles and Practice of Multi-Agent Systems</v>
      </c>
      <c r="C578" s="2" t="str">
        <f>IFERROR(__xludf.DUMMYFUNCTION("""COMPUTED_VALUE"""),"Conferência Internacional sobre Princípios e Prática de Sistemas Multiagentes")</f>
        <v>Conferência Internacional sobre Princípios e Prática de Sistemas Multiagentes</v>
      </c>
    </row>
    <row r="579">
      <c r="A579" s="4" t="s">
        <v>285</v>
      </c>
      <c r="B579" s="2" t="str">
        <f>IFERROR(__xludf.DUMMYFUNCTION("""COMPUTED_VALUE"""),"International Conference on Product-Focused Software Process Improvement")</f>
        <v>International Conference on Product-Focused Software Process Improvement</v>
      </c>
      <c r="C579" s="2" t="str">
        <f>IFERROR(__xludf.DUMMYFUNCTION("""COMPUTED_VALUE"""),"Conferência Internacional sobre Melhoria de Processo de Software Focada em Produto")</f>
        <v>Conferência Internacional sobre Melhoria de Processo de Software Focada em Produto</v>
      </c>
    </row>
    <row r="580">
      <c r="A580" s="5"/>
      <c r="B580" s="2" t="str">
        <f>IFERROR(__xludf.DUMMYFUNCTION("""COMPUTED_VALUE"""),"International Conference on Predictive Models and Data Analytics in Software Engineering")</f>
        <v>International Conference on Predictive Models and Data Analytics in Software Engineering</v>
      </c>
      <c r="C580" s="2" t="str">
        <f>IFERROR(__xludf.DUMMYFUNCTION("""COMPUTED_VALUE"""),"Conferência Internacional sobre Modelos Preditivos e Análise de Dados em Engenharia de Software")</f>
        <v>Conferência Internacional sobre Modelos Preditivos e Análise de Dados em Engenharia de Software</v>
      </c>
    </row>
    <row r="581">
      <c r="A581" s="4" t="s">
        <v>286</v>
      </c>
      <c r="B581" s="2" t="str">
        <f>IFERROR(__xludf.DUMMYFUNCTION("""COMPUTED_VALUE"""),"International Conference on Computational Processing of the Portuguese Language")</f>
        <v>International Conference on Computational Processing of the Portuguese Language</v>
      </c>
      <c r="C581" s="2" t="str">
        <f>IFERROR(__xludf.DUMMYFUNCTION("""COMPUTED_VALUE"""),"Conferência Internacional sobre Processamento Computacional da Língua Portuguesa")</f>
        <v>Conferência Internacional sobre Processamento Computacional da Língua Portuguesa</v>
      </c>
    </row>
    <row r="582">
      <c r="A582" s="5"/>
      <c r="B582" s="2" t="str">
        <f>IFERROR(__xludf.DUMMYFUNCTION("""COMPUTED_VALUE"""),"International Conference on Privacy, Security and Trust")</f>
        <v>International Conference on Privacy, Security and Trust</v>
      </c>
      <c r="C582" s="2" t="str">
        <f>IFERROR(__xludf.DUMMYFUNCTION("""COMPUTED_VALUE"""),"Conferência Internacional sobre Privacidade, Segurança e Confiança")</f>
        <v>Conferência Internacional sobre Privacidade, Segurança e Confiança</v>
      </c>
    </row>
    <row r="583">
      <c r="A583" s="4" t="s">
        <v>287</v>
      </c>
      <c r="B583" s="2" t="str">
        <f>IFERROR(__xludf.DUMMYFUNCTION("""COMPUTED_VALUE"""),"International Workshop on Quality of Multimedia Experience")</f>
        <v>International Workshop on Quality of Multimedia Experience</v>
      </c>
      <c r="C583" s="2" t="str">
        <f>IFERROR(__xludf.DUMMYFUNCTION("""COMPUTED_VALUE"""),"Workshop Internacional sobre Qualidade da Experiência Multimídia")</f>
        <v>Workshop Internacional sobre Qualidade da Experiência Multimídia</v>
      </c>
    </row>
    <row r="584">
      <c r="A584" s="5"/>
      <c r="B584" s="2" t="str">
        <f>IFERROR(__xludf.DUMMYFUNCTION("""COMPUTED_VALUE"""),"IEEE International Conference on Software Quality, Reliability, and Security")</f>
        <v>IEEE International Conference on Software Quality, Reliability, and Security</v>
      </c>
      <c r="C584" s="2" t="str">
        <f>IFERROR(__xludf.DUMMYFUNCTION("""COMPUTED_VALUE"""),"Conferência Internacional IEEE sobre Qualidade, Confiabilidade e Segurança de Software")</f>
        <v>Conferência Internacional IEEE sobre Qualidade, Confiabilidade e Segurança de Software</v>
      </c>
    </row>
    <row r="585">
      <c r="A585" s="4" t="s">
        <v>288</v>
      </c>
      <c r="B585" s="2" t="str">
        <f>IFERROR(__xludf.DUMMYFUNCTION("""COMPUTED_VALUE"""),"International Conference on Quality of Information and Communications Technology")</f>
        <v>International Conference on Quality of Information and Communications Technology</v>
      </c>
      <c r="C585" s="2" t="str">
        <f>IFERROR(__xludf.DUMMYFUNCTION("""COMPUTED_VALUE"""),"Conferência Internacional sobre Qualidade de Tecnologia da Informação e Comunicação")</f>
        <v>Conferência Internacional sobre Qualidade de Tecnologia da Informação e Comunicação</v>
      </c>
    </row>
    <row r="586">
      <c r="A586" s="5"/>
      <c r="B586" s="2" t="str">
        <f>IFERROR(__xludf.DUMMYFUNCTION("""COMPUTED_VALUE"""),"International Conference on Recent Advances in Natural Language Processing")</f>
        <v>International Conference on Recent Advances in Natural Language Processing</v>
      </c>
      <c r="C586" s="2" t="str">
        <f>IFERROR(__xludf.DUMMYFUNCTION("""COMPUTED_VALUE"""),"Conferência Internacional sobre Avanços Recentes no Processamento de Linguagem Natural")</f>
        <v>Conferência Internacional sobre Avanços Recentes no Processamento de Linguagem Natural</v>
      </c>
    </row>
    <row r="587">
      <c r="A587" s="4" t="s">
        <v>289</v>
      </c>
      <c r="B587" s="2" t="str">
        <f>IFERROR(__xludf.DUMMYFUNCTION("""COMPUTED_VALUE"""),"International Conference on Research Challenges in Information Science")</f>
        <v>International Conference on Research Challenges in Information Science</v>
      </c>
      <c r="C587" s="2" t="str">
        <f>IFERROR(__xludf.DUMMYFUNCTION("""COMPUTED_VALUE"""),"Conferência Internacional sobre Desafios de Pesquisa em Ciência da Informação")</f>
        <v>Conferência Internacional sobre Desafios de Pesquisa em Ciência da Informação</v>
      </c>
    </row>
    <row r="588">
      <c r="A588" s="5"/>
      <c r="B588" s="2" t="str">
        <f>IFERROR(__xludf.DUMMYFUNCTION("""COMPUTED_VALUE"""),"IEEE International Requirements Engineering Conference")</f>
        <v>IEEE International Requirements Engineering Conference</v>
      </c>
      <c r="C588" s="2" t="str">
        <f>IFERROR(__xludf.DUMMYFUNCTION("""COMPUTED_VALUE"""),"Conferência Internacional IEEE de Engenharia de Requisitos")</f>
        <v>Conferência Internacional IEEE de Engenharia de Requisitos</v>
      </c>
    </row>
    <row r="589">
      <c r="A589" s="4" t="s">
        <v>290</v>
      </c>
      <c r="B589" s="2" t="str">
        <f>IFERROR(__xludf.DUMMYFUNCTION("""COMPUTED_VALUE"""),"ACM Conference on Recommender Systems")</f>
        <v>ACM Conference on Recommender Systems</v>
      </c>
      <c r="C589" s="2" t="str">
        <f>IFERROR(__xludf.DUMMYFUNCTION("""COMPUTED_VALUE"""),"Conferência ACM sobre Sistemas de Recomendação")</f>
        <v>Conferência ACM sobre Sistemas de Recomendação</v>
      </c>
    </row>
    <row r="590">
      <c r="A590" s="5"/>
      <c r="B590" s="2" t="str">
        <f>IFERROR(__xludf.DUMMYFUNCTION("""COMPUTED_VALUE"""),"International Working Conference on Requirements Engineering: Foundations for Software Quality")</f>
        <v>International Working Conference on Requirements Engineering: Foundations for Software Quality</v>
      </c>
      <c r="C590" s="2" t="str">
        <f>IFERROR(__xludf.DUMMYFUNCTION("""COMPUTED_VALUE"""),"Conferência Internacional de Trabalho sobre Engenharia de Requisitos: Fundamentos para Qualidade de Software")</f>
        <v>Conferência Internacional de Trabalho sobre Engenharia de Requisitos: Fundamentos para Qualidade de Software</v>
      </c>
    </row>
    <row r="591">
      <c r="A591" s="4" t="s">
        <v>291</v>
      </c>
      <c r="B591" s="2" t="str">
        <f>IFERROR(__xludf.DUMMYFUNCTION("""COMPUTED_VALUE"""),"IEEE International Symposium on Robot and Human Interactive Communication")</f>
        <v>IEEE International Symposium on Robot and Human Interactive Communication</v>
      </c>
      <c r="C591" s="2" t="str">
        <f>IFERROR(__xludf.DUMMYFUNCTION("""COMPUTED_VALUE"""),"Simpósio Internacional IEEE de Comunicação Interativa entre Robôs e Humanos")</f>
        <v>Simpósio Internacional IEEE de Comunicação Interativa entre Robôs e Humanos</v>
      </c>
    </row>
    <row r="592">
      <c r="A592" s="5"/>
      <c r="B592" s="2" t="str">
        <f>IFERROR(__xludf.DUMMYFUNCTION("""COMPUTED_VALUE"""),"Robocup International Symposium")</f>
        <v>Robocup International Symposium</v>
      </c>
      <c r="C592" s="2" t="str">
        <f>IFERROR(__xludf.DUMMYFUNCTION("""COMPUTED_VALUE"""),"Simpósio Internacional Robocup")</f>
        <v>Simpósio Internacional Robocup</v>
      </c>
    </row>
    <row r="593">
      <c r="A593" s="4" t="s">
        <v>292</v>
      </c>
      <c r="B593" s="2" t="str">
        <f>IFERROR(__xludf.DUMMYFUNCTION("""COMPUTED_VALUE"""),"Iberian Robotics Conference")</f>
        <v>Iberian Robotics Conference</v>
      </c>
      <c r="C593" s="2" t="str">
        <f>IFERROR(__xludf.DUMMYFUNCTION("""COMPUTED_VALUE"""),"Conferência Ibérica de Robótica")</f>
        <v>Conferência Ibérica de Robótica</v>
      </c>
    </row>
    <row r="594">
      <c r="A594" s="5"/>
      <c r="B594" s="2" t="str">
        <f>IFERROR(__xludf.DUMMYFUNCTION("""COMPUTED_VALUE"""),"IEEE REAL-TIME AND EMBEDDED TECHNOLOGY AND APPLICATIONS SYMPOSIUM")</f>
        <v>IEEE REAL-TIME AND EMBEDDED TECHNOLOGY AND APPLICATIONS SYMPOSIUM</v>
      </c>
      <c r="C594" s="2" t="str">
        <f>IFERROR(__xludf.DUMMYFUNCTION("""COMPUTED_VALUE"""),"Simpósio IEEE de Tecnologia e Aplicações em Tempo Real e Embarcadas")</f>
        <v>Simpósio IEEE de Tecnologia e Aplicações em Tempo Real e Embarcadas</v>
      </c>
    </row>
    <row r="595">
      <c r="A595" s="4" t="s">
        <v>293</v>
      </c>
      <c r="B595" s="2" t="str">
        <f>IFERROR(__xludf.DUMMYFUNCTION("""COMPUTED_VALUE"""),"Real-Time Systems Symposium")</f>
        <v>Real-Time Systems Symposium</v>
      </c>
      <c r="C595" s="2" t="str">
        <f>IFERROR(__xludf.DUMMYFUNCTION("""COMPUTED_VALUE"""),"Simpósio de Sistemas de Tempo Real")</f>
        <v>Simpósio de Sistemas de Tempo Real</v>
      </c>
    </row>
    <row r="596">
      <c r="A596" s="5"/>
      <c r="B596" s="2" t="str">
        <f>IFERROR(__xludf.DUMMYFUNCTION("""COMPUTED_VALUE"""),"International Joint Conference on Rules and Reasoning")</f>
        <v>International Joint Conference on Rules and Reasoning</v>
      </c>
      <c r="C596" s="2" t="str">
        <f>IFERROR(__xludf.DUMMYFUNCTION("""COMPUTED_VALUE"""),"Conferência Internacional Conjunta sobre Regras e Raciocínio")</f>
        <v>Conferência Internacional Conjunta sobre Regras e Raciocínio</v>
      </c>
    </row>
    <row r="597">
      <c r="A597" s="4" t="s">
        <v>294</v>
      </c>
      <c r="B597" s="2" t="str">
        <f>IFERROR(__xludf.DUMMYFUNCTION("""COMPUTED_VALUE"""),"ACM Symposium on Applied Computing")</f>
        <v>ACM Symposium on Applied Computing</v>
      </c>
      <c r="C597" s="2" t="str">
        <f>IFERROR(__xludf.DUMMYFUNCTION("""COMPUTED_VALUE"""),"Simpósio ACM sobre Computação Aplicada")</f>
        <v>Simpósio ACM sobre Computação Aplicada</v>
      </c>
    </row>
    <row r="598">
      <c r="A598" s="5"/>
      <c r="B598" s="2" t="str">
        <f>IFERROR(__xludf.DUMMYFUNCTION("""COMPUTED_VALUE"""),"IEEE International Symposium on Applied Computational Intelligence and Informatics")</f>
        <v>IEEE International Symposium on Applied Computational Intelligence and Informatics</v>
      </c>
      <c r="C598" s="2" t="str">
        <f>IFERROR(__xludf.DUMMYFUNCTION("""COMPUTED_VALUE"""),"Simpósio Internacional IEEE de Inteligência Computacional Aplicada e Informática")</f>
        <v>Simpósio Internacional IEEE de Inteligência Computacional Aplicada e Informática</v>
      </c>
    </row>
    <row r="599">
      <c r="A599" s="4" t="s">
        <v>295</v>
      </c>
      <c r="B599" s="2" t="str">
        <f>IFERROR(__xludf.DUMMYFUNCTION("""COMPUTED_VALUE"""),"International Conference on Embedded Computer Systems: Architectures, Modeling and Simulation")</f>
        <v>International Conference on Embedded Computer Systems: Architectures, Modeling and Simulation</v>
      </c>
      <c r="C599" s="2" t="str">
        <f>IFERROR(__xludf.DUMMYFUNCTION("""COMPUTED_VALUE"""),"Conferência Internacional sobre Sistemas de Computação Embarcados: Arquiteturas, Modelagem e Simulação")</f>
        <v>Conferência Internacional sobre Sistemas de Computação Embarcados: Arquiteturas, Modelagem e Simulação</v>
      </c>
    </row>
    <row r="600">
      <c r="A600" s="5"/>
      <c r="B600" s="2" t="str">
        <f>IFERROR(__xludf.DUMMYFUNCTION("""COMPUTED_VALUE"""),"IEEE International Conference on Software Analysis, Evolution and Reengineering")</f>
        <v>IEEE International Conference on Software Analysis, Evolution and Reengineering</v>
      </c>
      <c r="C600" s="2" t="str">
        <f>IFERROR(__xludf.DUMMYFUNCTION("""COMPUTED_VALUE"""),"Conferência Internacional IEEE sobre Análise, Evolução e Reengenharia de Software")</f>
        <v>Conferência Internacional IEEE sobre Análise, Evolução e Reengenharia de Software</v>
      </c>
    </row>
    <row r="601">
      <c r="A601" s="4" t="s">
        <v>296</v>
      </c>
      <c r="B601" s="2" t="str">
        <f>IFERROR(__xludf.DUMMYFUNCTION("""COMPUTED_VALUE"""),"IEEE Sensors Applications Symposium")</f>
        <v>IEEE Sensors Applications Symposium</v>
      </c>
      <c r="C601" s="2" t="str">
        <f>IFERROR(__xludf.DUMMYFUNCTION("""COMPUTED_VALUE"""),"Simpósio de Aplicações de Sensores IEEE")</f>
        <v>Simpósio de Aplicações de Sensores IEEE</v>
      </c>
    </row>
    <row r="602">
      <c r="A602" s="5"/>
      <c r="B602" s="2" t="str">
        <f>IFERROR(__xludf.DUMMYFUNCTION("""COMPUTED_VALUE"""),"Brazilian Symposium on Systematic and Automated Software Testing")</f>
        <v>Brazilian Symposium on Systematic and Automated Software Testing</v>
      </c>
      <c r="C602" s="2" t="str">
        <f>IFERROR(__xludf.DUMMYFUNCTION("""COMPUTED_VALUE"""),"Simpósio Brasileiro de Testes de Software Sistemáticos e Automatizados")</f>
        <v>Simpósio Brasileiro de Testes de Software Sistemáticos e Automatizados</v>
      </c>
    </row>
    <row r="603">
      <c r="A603" s="4" t="s">
        <v>297</v>
      </c>
      <c r="B603" s="2" t="str">
        <f>IFERROR(__xludf.DUMMYFUNCTION("""COMPUTED_VALUE"""),"International Symposium on Computer Architecture and High Performance Computing")</f>
        <v>International Symposium on Computer Architecture and High Performance Computing</v>
      </c>
      <c r="C603" s="2" t="str">
        <f>IFERROR(__xludf.DUMMYFUNCTION("""COMPUTED_VALUE"""),"Simpósio Internacional sobre Arquitetura de Computadores e Computação de Alto Desempenho")</f>
        <v>Simpósio Internacional sobre Arquitetura de Computadores e Computação de Alto Desempenho</v>
      </c>
    </row>
    <row r="604">
      <c r="A604" s="5"/>
      <c r="B604" s="2" t="str">
        <f>IFERROR(__xludf.DUMMYFUNCTION("""COMPUTED_VALUE"""),"Simpósio Brasileiro de Automação Inteligente")</f>
        <v>Simpósio Brasileiro de Automação Inteligente</v>
      </c>
      <c r="C604" s="2" t="str">
        <f>IFERROR(__xludf.DUMMYFUNCTION("""COMPUTED_VALUE"""),"Brazilian Symposium on Intelligent Automation")</f>
        <v>Brazilian Symposium on Intelligent Automation</v>
      </c>
    </row>
    <row r="605">
      <c r="A605" s="4" t="s">
        <v>298</v>
      </c>
      <c r="B605" s="2" t="str">
        <f>IFERROR(__xludf.DUMMYFUNCTION("""COMPUTED_VALUE"""),"Simpósio Brasileiro de Banco de Dados")</f>
        <v>Simpósio Brasileiro de Banco de Dados</v>
      </c>
      <c r="C605" s="2" t="str">
        <f>IFERROR(__xludf.DUMMYFUNCTION("""COMPUTED_VALUE"""),"Brazilian Symposium on Databases")</f>
        <v>Brazilian Symposium on Databases</v>
      </c>
    </row>
    <row r="606">
      <c r="A606" s="5"/>
      <c r="B606" s="2" t="str">
        <f>IFERROR(__xludf.DUMMYFUNCTION("""COMPUTED_VALUE"""),"Brazilian Symposium on Components, Architectures and Reuse Software")</f>
        <v>Brazilian Symposium on Components, Architectures and Reuse Software</v>
      </c>
      <c r="C606" s="2" t="str">
        <f>IFERROR(__xludf.DUMMYFUNCTION("""COMPUTED_VALUE"""),"Simpósio Brasileiro de Componentes, Arquiteturas e Reuso de Software")</f>
        <v>Simpósio Brasileiro de Componentes, Arquiteturas e Reuso de Software</v>
      </c>
    </row>
    <row r="607">
      <c r="A607" s="4" t="s">
        <v>299</v>
      </c>
      <c r="B607" s="2" t="str">
        <f>IFERROR(__xludf.DUMMYFUNCTION("""COMPUTED_VALUE"""),"Simpósio Brasileiro de Computação Aplicada à Saúde")</f>
        <v>Simpósio Brasileiro de Computação Aplicada à Saúde</v>
      </c>
      <c r="C607" s="2" t="str">
        <f>IFERROR(__xludf.DUMMYFUNCTION("""COMPUTED_VALUE"""),"Brazilian Symposium on Computing Applied to Health")</f>
        <v>Brazilian Symposium on Computing Applied to Health</v>
      </c>
    </row>
    <row r="608">
      <c r="A608" s="5"/>
      <c r="B608" s="2" t="str">
        <f>IFERROR(__xludf.DUMMYFUNCTION("""COMPUTED_VALUE"""),"Symposium on Integrated Circuits and Systems Design")</f>
        <v>Symposium on Integrated Circuits and Systems Design</v>
      </c>
      <c r="C608" s="2" t="str">
        <f>IFERROR(__xludf.DUMMYFUNCTION("""COMPUTED_VALUE"""),"Simpósio sobre Design de Circuitos e Sistemas Integrados")</f>
        <v>Simpósio sobre Design de Circuitos e Sistemas Integrados</v>
      </c>
    </row>
    <row r="609">
      <c r="A609" s="4" t="s">
        <v>300</v>
      </c>
      <c r="B609" s="2" t="str">
        <f>IFERROR(__xludf.DUMMYFUNCTION("""COMPUTED_VALUE"""),"Simpósio Brasileiro de Computação Musical")</f>
        <v>Simpósio Brasileiro de Computação Musical</v>
      </c>
      <c r="C609" s="2" t="str">
        <f>IFERROR(__xludf.DUMMYFUNCTION("""COMPUTED_VALUE"""),"Brazilian Symposium on Computer Music")</f>
        <v>Brazilian Symposium on Computer Music</v>
      </c>
    </row>
    <row r="610">
      <c r="A610" s="5"/>
      <c r="B610" s="2" t="str">
        <f>IFERROR(__xludf.DUMMYFUNCTION("""COMPUTED_VALUE"""),"Simpósio Brasileiro de Computação Ubíqua e Pervasiva")</f>
        <v>Simpósio Brasileiro de Computação Ubíqua e Pervasiva</v>
      </c>
      <c r="C610" s="2" t="str">
        <f>IFERROR(__xludf.DUMMYFUNCTION("""COMPUTED_VALUE"""),"Brazilian Symposium on Ubiquitous and Pervasive Computing")</f>
        <v>Brazilian Symposium on Ubiquitous and Pervasive Computing</v>
      </c>
    </row>
    <row r="611">
      <c r="A611" s="4" t="s">
        <v>301</v>
      </c>
      <c r="B611" s="2" t="str">
        <f>IFERROR(__xludf.DUMMYFUNCTION("""COMPUTED_VALUE"""),"Brazilian Symposium on Software Engineering")</f>
        <v>Brazilian Symposium on Software Engineering</v>
      </c>
      <c r="C611" s="2" t="str">
        <f>IFERROR(__xludf.DUMMYFUNCTION("""COMPUTED_VALUE"""),"Simpósio Brasileiro de Engenharia de Software")</f>
        <v>Simpósio Brasileiro de Engenharia de Software</v>
      </c>
    </row>
    <row r="612">
      <c r="A612" s="5"/>
      <c r="B612" s="2" t="str">
        <f>IFERROR(__xludf.DUMMYFUNCTION("""COMPUTED_VALUE"""),"Symposium on Computing Systems Engineering")</f>
        <v>Symposium on Computing Systems Engineering</v>
      </c>
      <c r="C612" s="2" t="str">
        <f>IFERROR(__xludf.DUMMYFUNCTION("""COMPUTED_VALUE"""),"Simpósio sobre Engenharia de Sistemas Computacionais")</f>
        <v>Simpósio sobre Engenharia de Sistemas Computacionais</v>
      </c>
    </row>
    <row r="613">
      <c r="A613" s="4" t="s">
        <v>302</v>
      </c>
      <c r="B613" s="2" t="str">
        <f>IFERROR(__xludf.DUMMYFUNCTION("""COMPUTED_VALUE"""),"Simpósio Brasileiro de Jogos e Entretenimento Digital")</f>
        <v>Simpósio Brasileiro de Jogos e Entretenimento Digital</v>
      </c>
      <c r="C613" s="2" t="str">
        <f>IFERROR(__xludf.DUMMYFUNCTION("""COMPUTED_VALUE"""),"Brazilian Symposium on Games and Digital Entertainment")</f>
        <v>Brazilian Symposium on Games and Digital Entertainment</v>
      </c>
    </row>
    <row r="614">
      <c r="A614" s="5"/>
      <c r="B614" s="2" t="str">
        <f>IFERROR(__xludf.DUMMYFUNCTION("""COMPUTED_VALUE"""),"Simpósio Brasileiro de Jogos e Entretenimento Digital Companion")</f>
        <v>Simpósio Brasileiro de Jogos e Entretenimento Digital Companion</v>
      </c>
      <c r="C614" s="2" t="str">
        <f>IFERROR(__xludf.DUMMYFUNCTION("""COMPUTED_VALUE"""),"Simpósio Brasileiro de Jogos e Entretenimento Digital (Complementar)")</f>
        <v>Simpósio Brasileiro de Jogos e Entretenimento Digital (Complementar)</v>
      </c>
    </row>
    <row r="615">
      <c r="A615" s="4" t="s">
        <v>303</v>
      </c>
      <c r="B615" s="2" t="str">
        <f>IFERROR(__xludf.DUMMYFUNCTION("""COMPUTED_VALUE"""),"Congresso Brasileiro de Agroinformática")</f>
        <v>Congresso Brasileiro de Agroinformática</v>
      </c>
      <c r="C615" s="2" t="str">
        <f>IFERROR(__xludf.DUMMYFUNCTION("""COMPUTED_VALUE"""),"Brazilian Congress on Agroinformatics")</f>
        <v>Brazilian Congress on Agroinformatics</v>
      </c>
    </row>
    <row r="616">
      <c r="A616" s="5"/>
      <c r="B616" s="2" t="str">
        <f>IFERROR(__xludf.DUMMYFUNCTION("""COMPUTED_VALUE"""),"Simpósio Brasileiro de Informática na Educação")</f>
        <v>Simpósio Brasileiro de Informática na Educação</v>
      </c>
      <c r="C616" s="2" t="str">
        <f>IFERROR(__xludf.DUMMYFUNCTION("""COMPUTED_VALUE"""),"Brazilian Symposium on Informatics in Education")</f>
        <v>Brazilian Symposium on Informatics in Education</v>
      </c>
    </row>
    <row r="617">
      <c r="A617" s="4" t="s">
        <v>304</v>
      </c>
      <c r="B617" s="2" t="str">
        <f>IFERROR(__xludf.DUMMYFUNCTION("""COMPUTED_VALUE"""),"Brazilian Symposium on Programming Languages")</f>
        <v>Brazilian Symposium on Programming Languages</v>
      </c>
      <c r="C617" s="2" t="str">
        <f>IFERROR(__xludf.DUMMYFUNCTION("""COMPUTED_VALUE"""),"Simpósio Brasileiro de Linguagens de Programação")</f>
        <v>Simpósio Brasileiro de Linguagens de Programação</v>
      </c>
    </row>
    <row r="618">
      <c r="A618" s="5"/>
      <c r="B618" s="2" t="str">
        <f>IFERROR(__xludf.DUMMYFUNCTION("""COMPUTED_VALUE"""),"Brazilian Symposium on Formal Methods")</f>
        <v>Brazilian Symposium on Formal Methods</v>
      </c>
      <c r="C618" s="2" t="str">
        <f>IFERROR(__xludf.DUMMYFUNCTION("""COMPUTED_VALUE"""),"Simpósio Brasileiro de Métodos Formais")</f>
        <v>Simpósio Brasileiro de Métodos Formais</v>
      </c>
    </row>
    <row r="619">
      <c r="A619" s="4" t="s">
        <v>305</v>
      </c>
      <c r="B619" s="2" t="str">
        <f>IFERROR(__xludf.DUMMYFUNCTION("""COMPUTED_VALUE"""),"Symposium on Microelectronics Technology and Devices")</f>
        <v>Symposium on Microelectronics Technology and Devices</v>
      </c>
      <c r="C619" s="2" t="str">
        <f>IFERROR(__xludf.DUMMYFUNCTION("""COMPUTED_VALUE"""),"Simpósio sobre Tecnologia e Dispositivos de Microeletrônica")</f>
        <v>Simpósio sobre Tecnologia e Dispositivos de Microeletrônica</v>
      </c>
    </row>
    <row r="620">
      <c r="A620" s="5"/>
      <c r="B620" s="2" t="str">
        <f>IFERROR(__xludf.DUMMYFUNCTION("""COMPUTED_VALUE"""),"Simpósio Brasileiro de Pesquisa Operacional")</f>
        <v>Simpósio Brasileiro de Pesquisa Operacional</v>
      </c>
      <c r="C620" s="2" t="str">
        <f>IFERROR(__xludf.DUMMYFUNCTION("""COMPUTED_VALUE"""),"Brazilian Symposium on Operations Research")</f>
        <v>Brazilian Symposium on Operations Research</v>
      </c>
    </row>
    <row r="621">
      <c r="A621" s="4" t="s">
        <v>306</v>
      </c>
      <c r="B621" s="2" t="str">
        <f>IFERROR(__xludf.DUMMYFUNCTION("""COMPUTED_VALUE"""),"Simpósio Brasileiro de Qualidade de Software")</f>
        <v>Simpósio Brasileiro de Qualidade de Software</v>
      </c>
      <c r="C621" s="2" t="str">
        <f>IFERROR(__xludf.DUMMYFUNCTION("""COMPUTED_VALUE"""),"Brazilian Symposium on Software Quality")</f>
        <v>Brazilian Symposium on Software Quality</v>
      </c>
    </row>
    <row r="622">
      <c r="A622" s="5"/>
      <c r="B622" s="2" t="str">
        <f>IFERROR(__xludf.DUMMYFUNCTION("""COMPUTED_VALUE"""),"Simpósio Brasileiro de Redes de Computadores e Sistemas Distribuídos")</f>
        <v>Simpósio Brasileiro de Redes de Computadores e Sistemas Distribuídos</v>
      </c>
      <c r="C622" s="2" t="str">
        <f>IFERROR(__xludf.DUMMYFUNCTION("""COMPUTED_VALUE"""),"Brazilian Symposium on Computer Networks and Distributed Systems")</f>
        <v>Brazilian Symposium on Computer Networks and Distributed Systems</v>
      </c>
    </row>
    <row r="623">
      <c r="A623" s="4" t="s">
        <v>307</v>
      </c>
      <c r="B623" s="2" t="str">
        <f>IFERROR(__xludf.DUMMYFUNCTION("""COMPUTED_VALUE"""),"Simpósio Brasileiro de Telecomunicações e Processamento de Sinais")</f>
        <v>Simpósio Brasileiro de Telecomunicações e Processamento de Sinais</v>
      </c>
      <c r="C623" s="2" t="str">
        <f>IFERROR(__xludf.DUMMYFUNCTION("""COMPUTED_VALUE"""),"Brazilian Symposium on Telecommunications and Signal Processing")</f>
        <v>Brazilian Symposium on Telecommunications and Signal Processing</v>
      </c>
    </row>
    <row r="624">
      <c r="A624" s="5"/>
      <c r="B624" s="2" t="str">
        <f>IFERROR(__xludf.DUMMYFUNCTION("""COMPUTED_VALUE"""),"Simpósio Brasileiro de Sistemas Colaborativos")</f>
        <v>Simpósio Brasileiro de Sistemas Colaborativos</v>
      </c>
      <c r="C624" s="2" t="str">
        <f>IFERROR(__xludf.DUMMYFUNCTION("""COMPUTED_VALUE"""),"Brazilian Symposium on Collaborative Systems")</f>
        <v>Brazilian Symposium on Collaborative Systems</v>
      </c>
    </row>
    <row r="625">
      <c r="A625" s="4" t="s">
        <v>308</v>
      </c>
      <c r="B625" s="2" t="str">
        <f>IFERROR(__xludf.DUMMYFUNCTION("""COMPUTED_VALUE"""),"Simpósio Brasileiro de Sistemas Elétricos")</f>
        <v>Simpósio Brasileiro de Sistemas Elétricos</v>
      </c>
      <c r="C625" s="2" t="str">
        <f>IFERROR(__xludf.DUMMYFUNCTION("""COMPUTED_VALUE"""),"Brazilian Symposium on Electric Systems")</f>
        <v>Brazilian Symposium on Electric Systems</v>
      </c>
    </row>
    <row r="626">
      <c r="A626" s="5"/>
      <c r="B626" s="2" t="str">
        <f>IFERROR(__xludf.DUMMYFUNCTION("""COMPUTED_VALUE"""),"Simpósio Brasileiro de Segurança da Informação e de Sistemas Computacionais")</f>
        <v>Simpósio Brasileiro de Segurança da Informação e de Sistemas Computacionais</v>
      </c>
      <c r="C626" s="2" t="str">
        <f>IFERROR(__xludf.DUMMYFUNCTION("""COMPUTED_VALUE"""),"Brazilian Symposium on Information and Computer Systems Security")</f>
        <v>Brazilian Symposium on Information and Computer Systems Security</v>
      </c>
    </row>
    <row r="627">
      <c r="A627" s="4" t="s">
        <v>309</v>
      </c>
      <c r="B627" s="2" t="str">
        <f>IFERROR(__xludf.DUMMYFUNCTION("""COMPUTED_VALUE"""),"Simpósio Brasileiro de Sistemas de Informação")</f>
        <v>Simpósio Brasileiro de Sistemas de Informação</v>
      </c>
      <c r="C627" s="2" t="str">
        <f>IFERROR(__xludf.DUMMYFUNCTION("""COMPUTED_VALUE"""),"Brazilian Symposium on Information Systems")</f>
        <v>Brazilian Symposium on Information Systems</v>
      </c>
    </row>
    <row r="628">
      <c r="A628" s="5"/>
      <c r="B628" s="2" t="str">
        <f>IFERROR(__xludf.DUMMYFUNCTION("""COMPUTED_VALUE"""),"Simpósio Brasileiro de Sistemas de Informação Companion")</f>
        <v>Simpósio Brasileiro de Sistemas de Informação Companion</v>
      </c>
      <c r="C628" s="2" t="str">
        <f>IFERROR(__xludf.DUMMYFUNCTION("""COMPUTED_VALUE"""),"Brazilian Symposium on Information Systems (Complementar)")</f>
        <v>Brazilian Symposium on Information Systems (Complementar)</v>
      </c>
    </row>
    <row r="629">
      <c r="A629" s="4" t="s">
        <v>310</v>
      </c>
      <c r="B629" s="2" t="str">
        <f>IFERROR(__xludf.DUMMYFUNCTION("""COMPUTED_VALUE"""),"Simpósio Brasileiro de Sensoriamento Remoto")</f>
        <v>Simpósio Brasileiro de Sensoriamento Remoto</v>
      </c>
      <c r="C629" s="2" t="str">
        <f>IFERROR(__xludf.DUMMYFUNCTION("""COMPUTED_VALUE"""),"Brazilian Symposium on Remote Sensing")</f>
        <v>Brazilian Symposium on Remote Sensing</v>
      </c>
    </row>
    <row r="630">
      <c r="A630" s="5"/>
      <c r="B630" s="2" t="str">
        <f>IFERROR(__xludf.DUMMYFUNCTION("""COMPUTED_VALUE"""),"International Conference for High Performance Computing, Networking, Storage and Analysis")</f>
        <v>International Conference for High Performance Computing, Networking, Storage and Analysis</v>
      </c>
      <c r="C630" s="2" t="str">
        <f>IFERROR(__xludf.DUMMYFUNCTION("""COMPUTED_VALUE"""),"Conferência Internacional de Computação de Alto Desempenho, Redes, Armazenamento e Análise")</f>
        <v>Conferência Internacional de Computação de Alto Desempenho, Redes, Armazenamento e Análise</v>
      </c>
    </row>
    <row r="631">
      <c r="A631" s="4" t="s">
        <v>311</v>
      </c>
      <c r="B631" s="2" t="str">
        <f>IFERROR(__xludf.DUMMYFUNCTION("""COMPUTED_VALUE"""),"IEEE International Working Conference on Source Code Analysis and Manipulation")</f>
        <v>IEEE International Working Conference on Source Code Analysis and Manipulation</v>
      </c>
      <c r="C631" s="2" t="str">
        <f>IFERROR(__xludf.DUMMYFUNCTION("""COMPUTED_VALUE"""),"Conferência Internacional de Trabalho IEEE sobre Análise e Manipulação de Código Fonte")</f>
        <v>Conferência Internacional de Trabalho IEEE sobre Análise e Manipulação de Código Fonte</v>
      </c>
    </row>
    <row r="632">
      <c r="A632" s="5"/>
      <c r="B632" s="2" t="str">
        <f>IFERROR(__xludf.DUMMYFUNCTION("""COMPUTED_VALUE"""),"International Conference of the Chilean Computer Science Society")</f>
        <v>International Conference of the Chilean Computer Science Society</v>
      </c>
      <c r="C632" s="2" t="str">
        <f>IFERROR(__xludf.DUMMYFUNCTION("""COMPUTED_VALUE"""),"Conferência Internacional da Sociedade Chilena de Ciência da Computação")</f>
        <v>Conferência Internacional da Sociedade Chilena de Ciência da Computação</v>
      </c>
    </row>
    <row r="633">
      <c r="A633" s="4" t="s">
        <v>312</v>
      </c>
      <c r="B633" s="2" t="str">
        <f>IFERROR(__xludf.DUMMYFUNCTION("""COMPUTED_VALUE"""),"Symposium on Combinatorial Search")</f>
        <v>Symposium on Combinatorial Search</v>
      </c>
      <c r="C633" s="2" t="str">
        <f>IFERROR(__xludf.DUMMYFUNCTION("""COMPUTED_VALUE"""),"Simpósio sobre Busca Combinatória")</f>
        <v>Simpósio sobre Busca Combinatória</v>
      </c>
    </row>
    <row r="634">
      <c r="A634" s="5"/>
      <c r="B634" s="2" t="str">
        <f>IFERROR(__xludf.DUMMYFUNCTION("""COMPUTED_VALUE"""),"SIAM International Conference on Data Mining")</f>
        <v>SIAM International Conference on Data Mining</v>
      </c>
      <c r="C634" s="2" t="str">
        <f>IFERROR(__xludf.DUMMYFUNCTION("""COMPUTED_VALUE"""),"Conferência Internacional SIAM sobre Mineração de Dados")</f>
        <v>Conferência Internacional SIAM sobre Mineração de Dados</v>
      </c>
    </row>
    <row r="635">
      <c r="A635" s="4" t="s">
        <v>313</v>
      </c>
      <c r="B635" s="2" t="str">
        <f>IFERROR(__xludf.DUMMYFUNCTION("""COMPUTED_VALUE"""),"International Conference on Software Defined Systems")</f>
        <v>International Conference on Software Defined Systems</v>
      </c>
      <c r="C635" s="2" t="str">
        <f>IFERROR(__xludf.DUMMYFUNCTION("""COMPUTED_VALUE"""),"Conferência Internacional sobre Sistemas Definidos por Software")</f>
        <v>Conferência Internacional sobre Sistemas Definidos por Software</v>
      </c>
    </row>
    <row r="636">
      <c r="A636" s="5"/>
      <c r="B636" s="2" t="str">
        <f>IFERROR(__xludf.DUMMYFUNCTION("""COMPUTED_VALUE"""),"Spatial Data Science Symposium")</f>
        <v>Spatial Data Science Symposium</v>
      </c>
      <c r="C636" s="2" t="str">
        <f>IFERROR(__xludf.DUMMYFUNCTION("""COMPUTED_VALUE"""),"Simpósio de Ciência de Dados Espaciais")</f>
        <v>Simpósio de Ciência de Dados Espaciais</v>
      </c>
    </row>
    <row r="637">
      <c r="A637" s="4" t="s">
        <v>314</v>
      </c>
      <c r="B637" s="2" t="str">
        <f>IFERROR(__xludf.DUMMYFUNCTION("""COMPUTED_VALUE"""),"International Symposium on Experimental Algorithms")</f>
        <v>International Symposium on Experimental Algorithms</v>
      </c>
      <c r="C637" s="2" t="str">
        <f>IFERROR(__xludf.DUMMYFUNCTION("""COMPUTED_VALUE"""),"Simpósio Internacional sobre Algoritmos Experimentais")</f>
        <v>Simpósio Internacional sobre Algoritmos Experimentais</v>
      </c>
    </row>
    <row r="638">
      <c r="A638" s="5"/>
      <c r="B638" s="2" t="str">
        <f>IFERROR(__xludf.DUMMYFUNCTION("""COMPUTED_VALUE"""),"Euromicro Conference on Software Engineering and Advanced Applications")</f>
        <v>Euromicro Conference on Software Engineering and Advanced Applications</v>
      </c>
      <c r="C638" s="2" t="str">
        <f>IFERROR(__xludf.DUMMYFUNCTION("""COMPUTED_VALUE"""),"Conferência Euromicro sobre Engenharia de Software e Aplicações Avançadas")</f>
        <v>Conferência Euromicro sobre Engenharia de Software e Aplicações Avançadas</v>
      </c>
    </row>
    <row r="639">
      <c r="A639" s="4" t="s">
        <v>315</v>
      </c>
      <c r="B639" s="2" t="str">
        <f>IFERROR(__xludf.DUMMYFUNCTION("""COMPUTED_VALUE"""),"International Symposium on Software Engineering for Adaptive and Self-Managing Systems")</f>
        <v>International Symposium on Software Engineering for Adaptive and Self-Managing Systems</v>
      </c>
      <c r="C639" s="2" t="str">
        <f>IFERROR(__xludf.DUMMYFUNCTION("""COMPUTED_VALUE"""),"Simpósio Internacional sobre Engenharia de Software para Sistemas Adaptativos e Auto-Gerenciáveis")</f>
        <v>Simpósio Internacional sobre Engenharia de Software para Sistemas Adaptativos e Auto-Gerenciáveis</v>
      </c>
    </row>
    <row r="640">
      <c r="A640" s="5"/>
      <c r="B640" s="2" t="str">
        <f>IFERROR(__xludf.DUMMYFUNCTION("""COMPUTED_VALUE"""),"International Conference on Security and Cryptography")</f>
        <v>International Conference on Security and Cryptography</v>
      </c>
      <c r="C640" s="2" t="str">
        <f>IFERROR(__xludf.DUMMYFUNCTION("""COMPUTED_VALUE"""),"Conferência Internacional sobre Segurança e Criptografia")</f>
        <v>Conferência Internacional sobre Segurança e Criptografia</v>
      </c>
    </row>
    <row r="641">
      <c r="A641" s="4" t="s">
        <v>316</v>
      </c>
      <c r="B641" s="2" t="str">
        <f>IFERROR(__xludf.DUMMYFUNCTION("""COMPUTED_VALUE"""),"International Conference on Software Engineering and Formal Methods")</f>
        <v>International Conference on Software Engineering and Formal Methods</v>
      </c>
      <c r="C641" s="2" t="str">
        <f>IFERROR(__xludf.DUMMYFUNCTION("""COMPUTED_VALUE"""),"Conferência Internacional sobre Engenharia de Software e Métodos Formais")</f>
        <v>Conferência Internacional sobre Engenharia de Software e Métodos Formais</v>
      </c>
    </row>
    <row r="642">
      <c r="A642" s="5"/>
      <c r="B642" s="2" t="str">
        <f>IFERROR(__xludf.DUMMYFUNCTION("""COMPUTED_VALUE"""),"International Conference on Serious Games and Applications for Health")</f>
        <v>International Conference on Serious Games and Applications for Health</v>
      </c>
      <c r="C642" s="2" t="str">
        <f>IFERROR(__xludf.DUMMYFUNCTION("""COMPUTED_VALUE"""),"Conferência Internacional sobre Jogos Sérios e Aplicações para a Saúde")</f>
        <v>Conferência Internacional sobre Jogos Sérios e Aplicações para a Saúde</v>
      </c>
    </row>
    <row r="643">
      <c r="A643" s="4" t="s">
        <v>317</v>
      </c>
      <c r="B643" s="2" t="str">
        <f>IFERROR(__xludf.DUMMYFUNCTION("""COMPUTED_VALUE"""),"International Workshop on Software Engineering in Healthcare")</f>
        <v>International Workshop on Software Engineering in Healthcare</v>
      </c>
      <c r="C643" s="2" t="str">
        <f>IFERROR(__xludf.DUMMYFUNCTION("""COMPUTED_VALUE"""),"Workshop Internacional sobre Engenharia de Software na Saúde")</f>
        <v>Workshop Internacional sobre Engenharia de Software na Saúde</v>
      </c>
    </row>
    <row r="644">
      <c r="A644" s="5"/>
      <c r="B644" s="2" t="str">
        <f>IFERROR(__xludf.DUMMYFUNCTION("""COMPUTED_VALUE"""),"International Conference on Software Engineering and Knowledge Engineering")</f>
        <v>International Conference on Software Engineering and Knowledge Engineering</v>
      </c>
      <c r="C644" s="2" t="str">
        <f>IFERROR(__xludf.DUMMYFUNCTION("""COMPUTED_VALUE"""),"Conferência Internacional sobre Engenharia de Software e Engenharia de Conhecimento")</f>
        <v>Conferência Internacional sobre Engenharia de Software e Engenharia de Conhecimento</v>
      </c>
    </row>
    <row r="645">
      <c r="A645" s="4" t="s">
        <v>318</v>
      </c>
      <c r="B645" s="2" t="str">
        <f>IFERROR(__xludf.DUMMYFUNCTION("""COMPUTED_VALUE"""),"International Workshop on Semantic Evaluation")</f>
        <v>International Workshop on Semantic Evaluation</v>
      </c>
      <c r="C645" s="2" t="str">
        <f>IFERROR(__xludf.DUMMYFUNCTION("""COMPUTED_VALUE"""),"Workshop Internacional sobre Avaliação Semântica")</f>
        <v>Workshop Internacional sobre Avaliação Semântica</v>
      </c>
    </row>
    <row r="646">
      <c r="A646" s="5"/>
      <c r="B646" s="2" t="str">
        <f>IFERROR(__xludf.DUMMYFUNCTION("""COMPUTED_VALUE"""),"Seminário Integrado de Software e Hardware")</f>
        <v>Seminário Integrado de Software e Hardware</v>
      </c>
      <c r="C646" s="2" t="str">
        <f>IFERROR(__xludf.DUMMYFUNCTION("""COMPUTED_VALUE"""),"Integrated Seminar on Software and Hardware")</f>
        <v>Integrated Seminar on Software and Hardware</v>
      </c>
    </row>
    <row r="647">
      <c r="A647" s="4" t="s">
        <v>319</v>
      </c>
      <c r="B647" s="2" t="str">
        <f>IFERROR(__xludf.DUMMYFUNCTION("""COMPUTED_VALUE"""),"CONFERENCE OF THE SPANISH SOCIETY FOR NATURAL LANGUAGE PROCESSING")</f>
        <v>CONFERENCE OF THE SPANISH SOCIETY FOR NATURAL LANGUAGE PROCESSING</v>
      </c>
      <c r="C647" s="2" t="str">
        <f>IFERROR(__xludf.DUMMYFUNCTION("""COMPUTED_VALUE"""),"Conferência da Sociedade Espanhola de Processamento de Linguagem Natural")</f>
        <v>Conferência da Sociedade Espanhola de Processamento de Linguagem Natural</v>
      </c>
    </row>
    <row r="648">
      <c r="A648" s="5"/>
      <c r="B648" s="2" t="str">
        <f>IFERROR(__xludf.DUMMYFUNCTION("""COMPUTED_VALUE"""),"IEEE/ACM International Workshop on Software Engineering Research and Industrial Practice")</f>
        <v>IEEE/ACM International Workshop on Software Engineering Research and Industrial Practice</v>
      </c>
      <c r="C648" s="2" t="str">
        <f>IFERROR(__xludf.DUMMYFUNCTION("""COMPUTED_VALUE"""),"Workshop Internacional IEEE/ACM sobre Pesquisa em Engenharia de Software e Prática Industrial")</f>
        <v>Workshop Internacional IEEE/ACM sobre Pesquisa em Engenharia de Software e Prática Industrial</v>
      </c>
    </row>
    <row r="649">
      <c r="A649" s="4" t="s">
        <v>320</v>
      </c>
      <c r="B649" s="2" t="str">
        <f>IFERROR(__xludf.DUMMYFUNCTION("""COMPUTED_VALUE"""),"International Workshop on Software Engineering Research &amp; Practices for the Internet of Things")</f>
        <v>International Workshop on Software Engineering Research &amp; Practices for the Internet of Things</v>
      </c>
      <c r="C649" s="2" t="str">
        <f>IFERROR(__xludf.DUMMYFUNCTION("""COMPUTED_VALUE"""),"Workshop Internacional sobre Pesquisa e Práticas de Engenharia de Software para a Internet das Coisas")</f>
        <v>Workshop Internacional sobre Pesquisa e Práticas de Engenharia de Software para a Internet das Coisas</v>
      </c>
    </row>
    <row r="650">
      <c r="A650" s="5"/>
      <c r="B650" s="2" t="str">
        <f>IFERROR(__xludf.DUMMYFUNCTION("""COMPUTED_VALUE"""),"International Workshop on Software Engineering for Systems-of-Systems and Software Ecosystems")</f>
        <v>International Workshop on Software Engineering for Systems-of-Systems and Software Ecosystems</v>
      </c>
      <c r="C650" s="2" t="str">
        <f>IFERROR(__xludf.DUMMYFUNCTION("""COMPUTED_VALUE"""),"Workshop Internacional sobre Engenharia de Software para Sistemas de Sistemas e Ecossistemas de Software")</f>
        <v>Workshop Internacional sobre Engenharia de Software para Sistemas de Sistemas e Ecossistemas de Software</v>
      </c>
    </row>
    <row r="651">
      <c r="A651" s="4" t="s">
        <v>321</v>
      </c>
      <c r="B651" s="2" t="str">
        <f>IFERROR(__xludf.DUMMYFUNCTION("""COMPUTED_VALUE"""),"Conference on Graphics, Patterns and Images")</f>
        <v>Conference on Graphics, Patterns and Images</v>
      </c>
      <c r="C651" s="2" t="str">
        <f>IFERROR(__xludf.DUMMYFUNCTION("""COMPUTED_VALUE"""),"Conferência sobre Gráficos, Padrões e Imagens")</f>
        <v>Conferência sobre Gráficos, Padrões e Imagens</v>
      </c>
    </row>
    <row r="652">
      <c r="A652" s="5"/>
      <c r="B652" s="2" t="str">
        <f>IFERROR(__xludf.DUMMYFUNCTION("""COMPUTED_VALUE"""),"ACM Technical Symposium on Computer Science Education")</f>
        <v>ACM Technical Symposium on Computer Science Education</v>
      </c>
      <c r="C652" s="2" t="str">
        <f>IFERROR(__xludf.DUMMYFUNCTION("""COMPUTED_VALUE"""),"Simpósio Técnico ACM sobre Educação em Ciência da Computação")</f>
        <v>Simpósio Técnico ACM sobre Educação em Ciência da Computação</v>
      </c>
    </row>
    <row r="653">
      <c r="A653" s="4" t="s">
        <v>322</v>
      </c>
      <c r="B653" s="2" t="str">
        <f>IFERROR(__xludf.DUMMYFUNCTION("""COMPUTED_VALUE"""),"ACM International Conference on Design of Communication")</f>
        <v>ACM International Conference on Design of Communication</v>
      </c>
      <c r="C653" s="2" t="str">
        <f>IFERROR(__xludf.DUMMYFUNCTION("""COMPUTED_VALUE"""),"Conferência Internacional ACM sobre Design de Comunicação")</f>
        <v>Conferência Internacional ACM sobre Design de Comunicação</v>
      </c>
    </row>
    <row r="654">
      <c r="A654" s="5"/>
      <c r="B654" s="2" t="str">
        <f>IFERROR(__xludf.DUMMYFUNCTION("""COMPUTED_VALUE"""),"International Conference and Exibition on Computer Graphics and Interactive Techniques")</f>
        <v>International Conference and Exibition on Computer Graphics and Interactive Techniques</v>
      </c>
      <c r="C654" s="2" t="str">
        <f>IFERROR(__xludf.DUMMYFUNCTION("""COMPUTED_VALUE"""),"Conferência e Exposição Internacional sobre Computação Gráfica e Técnicas Interativas")</f>
        <v>Conferência e Exposição Internacional sobre Computação Gráfica e Técnicas Interativas</v>
      </c>
    </row>
    <row r="655">
      <c r="A655" s="4" t="s">
        <v>323</v>
      </c>
      <c r="B655" s="2" t="str">
        <f>IFERROR(__xludf.DUMMYFUNCTION("""COMPUTED_VALUE"""),"ACM International Conference on Computer Graphics &amp; Interactive Techniques / Asia")</f>
        <v>ACM International Conference on Computer Graphics &amp; Interactive Techniques / Asia</v>
      </c>
      <c r="C655" s="2" t="str">
        <f>IFERROR(__xludf.DUMMYFUNCTION("""COMPUTED_VALUE"""),"Conferência Internacional ACM sobre Computação Gráfica e Técnicas Interativas / Ásia")</f>
        <v>Conferência Internacional ACM sobre Computação Gráfica e Técnicas Interativas / Ásia</v>
      </c>
    </row>
    <row r="656">
      <c r="A656" s="5"/>
      <c r="B656" s="2" t="str">
        <f>IFERROR(__xludf.DUMMYFUNCTION("""COMPUTED_VALUE"""),"International ACM SIGIR Conference on Research and Development in Information Retrieval")</f>
        <v>International ACM SIGIR Conference on Research and Development in Information Retrieval</v>
      </c>
      <c r="C656" s="2" t="str">
        <f>IFERROR(__xludf.DUMMYFUNCTION("""COMPUTED_VALUE"""),"Conferência Internacional ACM SIGIR sobre Pesquisa e Desenvolvimento em Recuperação de Informação")</f>
        <v>Conferência Internacional ACM SIGIR sobre Pesquisa e Desenvolvimento em Recuperação de Informação</v>
      </c>
    </row>
    <row r="657">
      <c r="A657" s="4" t="s">
        <v>324</v>
      </c>
      <c r="B657" s="2" t="str">
        <f>IFERROR(__xludf.DUMMYFUNCTION("""COMPUTED_VALUE"""),"International Conference on Measurement and Modeling of Computer Systems")</f>
        <v>International Conference on Measurement and Modeling of Computer Systems</v>
      </c>
      <c r="C657" s="2" t="str">
        <f>IFERROR(__xludf.DUMMYFUNCTION("""COMPUTED_VALUE"""),"Conferência Internacional sobre Medição e Modelagem de Sistemas Computacionais")</f>
        <v>Conferência Internacional sobre Medição e Modelagem de Sistemas Computacionais</v>
      </c>
    </row>
    <row r="658">
      <c r="A658" s="5"/>
      <c r="B658" s="2" t="str">
        <f>IFERROR(__xludf.DUMMYFUNCTION("""COMPUTED_VALUE"""),"ACM SIGSPATIAL International Conference on Advances in Geographic Information Systems")</f>
        <v>ACM SIGSPATIAL International Conference on Advances in Geographic Information Systems</v>
      </c>
      <c r="C658" s="2" t="str">
        <f>IFERROR(__xludf.DUMMYFUNCTION("""COMPUTED_VALUE"""),"Conferência Internacional ACM SIGSPATIAL sobre Avanços em Sistemas de Informação Geográfica")</f>
        <v>Conferência Internacional ACM SIGSPATIAL sobre Avanços em Sistemas de Informação Geográfica</v>
      </c>
    </row>
    <row r="659">
      <c r="A659" s="4" t="s">
        <v>325</v>
      </c>
      <c r="B659" s="2" t="str">
        <f>IFERROR(__xludf.DUMMYFUNCTION("""COMPUTED_VALUE"""),"Simpósio Internacional de Informática Educatica")</f>
        <v>Simpósio Internacional de Informática Educatica</v>
      </c>
      <c r="C659" s="2" t="str">
        <f>IFERROR(__xludf.DUMMYFUNCTION("""COMPUTED_VALUE"""),"International Symposium on Educational Informatics")</f>
        <v>International Symposium on Educational Informatics</v>
      </c>
    </row>
    <row r="660">
      <c r="A660" s="5"/>
      <c r="B660" s="2" t="str">
        <f>IFERROR(__xludf.DUMMYFUNCTION("""COMPUTED_VALUE"""),"Annual International Symposium on Information Management and Big Data")</f>
        <v>Annual International Symposium on Information Management and Big Data</v>
      </c>
      <c r="C660" s="2" t="str">
        <f>IFERROR(__xludf.DUMMYFUNCTION("""COMPUTED_VALUE"""),"Simpósio Internacional Anual sobre Gestão da Informação e Big Data")</f>
        <v>Simpósio Internacional Anual sobre Gestão da Informação e Big Data</v>
      </c>
    </row>
    <row r="661">
      <c r="A661" s="4" t="s">
        <v>326</v>
      </c>
      <c r="B661" s="2" t="str">
        <f>IFERROR(__xludf.DUMMYFUNCTION("""COMPUTED_VALUE"""),"International Conference on Simulation and Modeling Methodologies, Technologies and Applications")</f>
        <v>International Conference on Simulation and Modeling Methodologies, Technologies and Applications</v>
      </c>
      <c r="C661" s="2" t="str">
        <f>IFERROR(__xludf.DUMMYFUNCTION("""COMPUTED_VALUE"""),"Conferência Internacional sobre Metodologias, Tecnologias e Aplicações de Simulação e Modelagem")</f>
        <v>Conferência Internacional sobre Metodologias, Tecnologias e Aplicações de Simulação e Modelagem</v>
      </c>
    </row>
    <row r="662">
      <c r="A662" s="5"/>
      <c r="B662" s="2" t="str">
        <f>IFERROR(__xludf.DUMMYFUNCTION("""COMPUTED_VALUE"""),"EAI International Conference on Simulation Tools and Techniques")</f>
        <v>EAI International Conference on Simulation Tools and Techniques</v>
      </c>
      <c r="C662" s="2" t="str">
        <f>IFERROR(__xludf.DUMMYFUNCTION("""COMPUTED_VALUE"""),"Conferência Internacional EAI sobre Ferramentas e Técnicas de Simulação")</f>
        <v>Conferência Internacional EAI sobre Ferramentas e Técnicas de Simulação</v>
      </c>
    </row>
    <row r="663">
      <c r="A663" s="4" t="s">
        <v>327</v>
      </c>
      <c r="B663" s="2" t="str">
        <f>IFERROR(__xludf.DUMMYFUNCTION("""COMPUTED_VALUE"""),"International Symposium on Medical Information Processing and Analysis")</f>
        <v>International Symposium on Medical Information Processing and Analysis</v>
      </c>
      <c r="C663" s="2" t="str">
        <f>IFERROR(__xludf.DUMMYFUNCTION("""COMPUTED_VALUE"""),"Simpósio Internacional sobre Processamento e Análise de Informações Médicas")</f>
        <v>Simpósio Internacional sobre Processamento e Análise de Informações Médicas</v>
      </c>
    </row>
    <row r="664">
      <c r="A664" s="5"/>
      <c r="B664" s="2" t="str">
        <f>IFERROR(__xludf.DUMMYFUNCTION("""COMPUTED_VALUE"""),"International Conference on Similarity Search and Applications")</f>
        <v>International Conference on Similarity Search and Applications</v>
      </c>
      <c r="C664" s="2" t="str">
        <f>IFERROR(__xludf.DUMMYFUNCTION("""COMPUTED_VALUE"""),"Conferência Internacional sobre Busca por Similaridade e Aplicações")</f>
        <v>Conferência Internacional sobre Busca por Similaridade e Aplicações</v>
      </c>
    </row>
    <row r="665">
      <c r="A665" s="4" t="s">
        <v>328</v>
      </c>
      <c r="B665" s="2" t="str">
        <f>IFERROR(__xludf.DUMMYFUNCTION("""COMPUTED_VALUE"""),"Symposium on Languages, Applications and Technologies")</f>
        <v>Symposium on Languages, Applications and Technologies</v>
      </c>
      <c r="C665" s="2" t="str">
        <f>IFERROR(__xludf.DUMMYFUNCTION("""COMPUTED_VALUE"""),"Simpósio sobre Linguagens, Aplicações e Tecnologias")</f>
        <v>Simpósio sobre Linguagens, Aplicações e Tecnologias</v>
      </c>
    </row>
    <row r="666">
      <c r="A666" s="5"/>
      <c r="B666" s="2" t="str">
        <f>IFERROR(__xludf.DUMMYFUNCTION("""COMPUTED_VALUE"""),"International Conference on Smart Computing")</f>
        <v>International Conference on Smart Computing</v>
      </c>
      <c r="C666" s="2" t="str">
        <f>IFERROR(__xludf.DUMMYFUNCTION("""COMPUTED_VALUE"""),"Conferência Internacional sobre Computação Inteligente")</f>
        <v>Conferência Internacional sobre Computação Inteligente</v>
      </c>
    </row>
    <row r="667">
      <c r="A667" s="4" t="s">
        <v>329</v>
      </c>
      <c r="B667" s="2" t="str">
        <f>IFERROR(__xludf.DUMMYFUNCTION("""COMPUTED_VALUE"""),"IEEE International Conference on Smart Grid Communications")</f>
        <v>IEEE International Conference on Smart Grid Communications</v>
      </c>
      <c r="C667" s="2" t="str">
        <f>IFERROR(__xludf.DUMMYFUNCTION("""COMPUTED_VALUE"""),"Conferência Internacional IEEE sobre Comunicações de Redes Inteligentes")</f>
        <v>Conferência Internacional IEEE sobre Comunicações de Redes Inteligentes</v>
      </c>
    </row>
    <row r="668">
      <c r="A668" s="5"/>
      <c r="B668" s="2" t="str">
        <f>IFERROR(__xludf.DUMMYFUNCTION("""COMPUTED_VALUE"""),"IEEE International Conference on Systems, Man and Cybernetics")</f>
        <v>IEEE International Conference on Systems, Man and Cybernetics</v>
      </c>
      <c r="C668" s="2" t="str">
        <f>IFERROR(__xludf.DUMMYFUNCTION("""COMPUTED_VALUE"""),"Conferência Internacional IEEE sobre Sistemas, Homem e Cibernética")</f>
        <v>Conferência Internacional IEEE sobre Sistemas, Homem e Cibernética</v>
      </c>
    </row>
    <row r="669">
      <c r="A669" s="4" t="s">
        <v>330</v>
      </c>
      <c r="B669" s="2" t="str">
        <f>IFERROR(__xludf.DUMMYFUNCTION("""COMPUTED_VALUE"""),"International Conference on Social Informatics")</f>
        <v>International Conference on Social Informatics</v>
      </c>
      <c r="C669" s="2" t="str">
        <f>IFERROR(__xludf.DUMMYFUNCTION("""COMPUTED_VALUE"""),"Conferência Internacional sobre Informática Social")</f>
        <v>Conferência Internacional sobre Informática Social</v>
      </c>
    </row>
    <row r="670">
      <c r="A670" s="5"/>
      <c r="B670" s="2" t="str">
        <f>IFERROR(__xludf.DUMMYFUNCTION("""COMPUTED_VALUE"""),"ACM-SIAM Symposium on Discrete Algorithms")</f>
        <v>ACM-SIAM Symposium on Discrete Algorithms</v>
      </c>
      <c r="C670" s="2" t="str">
        <f>IFERROR(__xludf.DUMMYFUNCTION("""COMPUTED_VALUE"""),"Simpósio ACM-SIAM sobre Algoritmos Discretos")</f>
        <v>Simpósio ACM-SIAM sobre Algoritmos Discretos</v>
      </c>
    </row>
    <row r="671">
      <c r="A671" s="4" t="s">
        <v>331</v>
      </c>
      <c r="B671" s="2" t="str">
        <f>IFERROR(__xludf.DUMMYFUNCTION("""COMPUTED_VALUE"""),"International Conference on Current Trends in Theory and Practice of Computer Science")</f>
        <v>International Conference on Current Trends in Theory and Practice of Computer Science</v>
      </c>
      <c r="C671" s="2" t="str">
        <f>IFERROR(__xludf.DUMMYFUNCTION("""COMPUTED_VALUE"""),"Conferência Internacional sobre Tendências Atuais na Teoria e Prática da Ciência da Computação")</f>
        <v>Conferência Internacional sobre Tendências Atuais na Teoria e Prática da Ciência da Computação</v>
      </c>
    </row>
    <row r="672">
      <c r="A672" s="5"/>
      <c r="B672" s="2" t="str">
        <f>IFERROR(__xludf.DUMMYFUNCTION("""COMPUTED_VALUE"""),"International Conference on Software, Telecommunications and Computer Networks")</f>
        <v>International Conference on Software, Telecommunications and Computer Networks</v>
      </c>
      <c r="C672" s="2" t="str">
        <f>IFERROR(__xludf.DUMMYFUNCTION("""COMPUTED_VALUE"""),"Conferência Internacional sobre Software, Telecomunicações e Redes de Computadores")</f>
        <v>Conferência Internacional sobre Software, Telecomunicações e Redes de Computadores</v>
      </c>
    </row>
    <row r="673">
      <c r="A673" s="4" t="s">
        <v>332</v>
      </c>
      <c r="B673" s="2" t="str">
        <f>IFERROR(__xludf.DUMMYFUNCTION("""COMPUTED_VALUE"""),"Siam Symposium on Simplicity in Algorithms")</f>
        <v>Siam Symposium on Simplicity in Algorithms</v>
      </c>
      <c r="C673" s="2" t="str">
        <f>IFERROR(__xludf.DUMMYFUNCTION("""COMPUTED_VALUE"""),"Simpósio SIAM sobre Simplicidade em Algoritmos")</f>
        <v>Simpósio SIAM sobre Simplicidade em Algoritmos</v>
      </c>
    </row>
    <row r="674">
      <c r="A674" s="5"/>
      <c r="B674" s="2" t="str">
        <f>IFERROR(__xludf.DUMMYFUNCTION("""COMPUTED_VALUE"""),"IEEE Annual System of Systems Engineering Conference")</f>
        <v>IEEE Annual System of Systems Engineering Conference</v>
      </c>
      <c r="C674" s="2" t="str">
        <f>IFERROR(__xludf.DUMMYFUNCTION("""COMPUTED_VALUE"""),"Conferência Anual IEEE de Engenharia de Sistemas de Sistemas")</f>
        <v>Conferência Anual IEEE de Engenharia de Sistemas de Sistemas</v>
      </c>
    </row>
    <row r="675">
      <c r="A675" s="4" t="s">
        <v>333</v>
      </c>
      <c r="B675" s="2" t="str">
        <f>IFERROR(__xludf.DUMMYFUNCTION("""COMPUTED_VALUE"""),"Symposium on Software Defined Networking Research")</f>
        <v>Symposium on Software Defined Networking Research</v>
      </c>
      <c r="C675" s="2" t="str">
        <f>IFERROR(__xludf.DUMMYFUNCTION("""COMPUTED_VALUE"""),"Simpósio sobre Pesquisa em Redes Definidas por Software")</f>
        <v>Simpósio sobre Pesquisa em Redes Definidas por Software</v>
      </c>
    </row>
    <row r="676">
      <c r="A676" s="5"/>
      <c r="B676" s="2" t="str">
        <f>IFERROR(__xludf.DUMMYFUNCTION("""COMPUTED_VALUE"""),"ACM SIGSPATIAL International Workshop on Spatial Gems")</f>
        <v>ACM SIGSPATIAL International Workshop on Spatial Gems</v>
      </c>
      <c r="C676" s="2" t="str">
        <f>IFERROR(__xludf.DUMMYFUNCTION("""COMPUTED_VALUE"""),"Workshop Internacional ACM SIGSPATIAL sobre Joias Espaciais")</f>
        <v>Workshop Internacional ACM SIGSPATIAL sobre Joias Espaciais</v>
      </c>
    </row>
    <row r="677">
      <c r="A677" s="4" t="s">
        <v>334</v>
      </c>
      <c r="B677" s="2" t="str">
        <f>IFERROR(__xludf.DUMMYFUNCTION("""COMPUTED_VALUE"""),"Proceedings of SPIE--The International Society for Optical Engineering")</f>
        <v>Proceedings of SPIE--The International Society for Optical Engineering</v>
      </c>
      <c r="C677" s="2" t="str">
        <f>IFERROR(__xludf.DUMMYFUNCTION("""COMPUTED_VALUE"""),"Anais da SPIE--A Sociedade Internacional de Engenharia Óptica")</f>
        <v>Anais da SPIE--A Sociedade Internacional de Engenharia Óptica</v>
      </c>
    </row>
    <row r="678">
      <c r="A678" s="5"/>
      <c r="B678" s="2" t="str">
        <f>IFERROR(__xludf.DUMMYFUNCTION("""COMPUTED_VALUE"""),"Medical Imaging: Image Processing")</f>
        <v>Medical Imaging: Image Processing</v>
      </c>
      <c r="C678" s="2" t="str">
        <f>IFERROR(__xludf.DUMMYFUNCTION("""COMPUTED_VALUE"""),"Imagem Médica: Processamento de Imagem")</f>
        <v>Imagem Médica: Processamento de Imagem</v>
      </c>
    </row>
    <row r="679">
      <c r="A679" s="4" t="s">
        <v>335</v>
      </c>
      <c r="B679" s="2" t="str">
        <f>IFERROR(__xludf.DUMMYFUNCTION("""COMPUTED_VALUE"""),"International Symposium on String Processing and Information Retrieval")</f>
        <v>International Symposium on String Processing and Information Retrieval</v>
      </c>
      <c r="C679" s="2" t="str">
        <f>IFERROR(__xludf.DUMMYFUNCTION("""COMPUTED_VALUE"""),"Simpósio Internacional sobre Processamento de Strings e Recuperação de Informação")</f>
        <v>Simpósio Internacional sobre Processamento de Strings e Recuperação de Informação</v>
      </c>
    </row>
    <row r="680">
      <c r="A680" s="5"/>
      <c r="B680" s="2" t="str">
        <f>IFERROR(__xludf.DUMMYFUNCTION("""COMPUTED_VALUE"""),"International Software Product Line Conference")</f>
        <v>International Software Product Line Conference</v>
      </c>
      <c r="C680" s="2" t="str">
        <f>IFERROR(__xludf.DUMMYFUNCTION("""COMPUTED_VALUE"""),"Conferência Internacional de Linha de Produtos de Software")</f>
        <v>Conferência Internacional de Linha de Produtos de Software</v>
      </c>
    </row>
    <row r="681">
      <c r="A681" s="4" t="s">
        <v>336</v>
      </c>
      <c r="B681" s="2" t="str">
        <f>IFERROR(__xludf.DUMMYFUNCTION("""COMPUTED_VALUE"""),"International Conference on Smart and Sustainable Technologies")</f>
        <v>International Conference on Smart and Sustainable Technologies</v>
      </c>
      <c r="C681" s="2" t="str">
        <f>IFERROR(__xludf.DUMMYFUNCTION("""COMPUTED_VALUE"""),"Conferência Internacional sobre Tecnologias Inteligentes e Sustentáveis")</f>
        <v>Conferência Internacional sobre Tecnologias Inteligentes e Sustentáveis</v>
      </c>
    </row>
    <row r="682">
      <c r="A682" s="5"/>
      <c r="B682" s="2" t="str">
        <f>IFERROR(__xludf.DUMMYFUNCTION("""COMPUTED_VALUE"""),"IEEE Symposium on Reliable Distributed Systems")</f>
        <v>IEEE Symposium on Reliable Distributed Systems</v>
      </c>
      <c r="C682" s="2" t="str">
        <f>IFERROR(__xludf.DUMMYFUNCTION("""COMPUTED_VALUE"""),"Simpósio IEEE sobre Sistemas Distribuídos Confiáveis")</f>
        <v>Simpósio IEEE sobre Sistemas Distribuídos Confiáveis</v>
      </c>
    </row>
    <row r="683">
      <c r="A683" s="4" t="s">
        <v>337</v>
      </c>
      <c r="B683" s="2" t="str">
        <f>IFERROR(__xludf.DUMMYFUNCTION("""COMPUTED_VALUE"""),"Simpósio em Sistemas Computacionais de Alto Desempenho")</f>
        <v>Simpósio em Sistemas Computacionais de Alto Desempenho</v>
      </c>
      <c r="C683" s="2" t="str">
        <f>IFERROR(__xludf.DUMMYFUNCTION("""COMPUTED_VALUE"""),"Symposium on High Performance Computer Systems")</f>
        <v>Symposium on High Performance Computer Systems</v>
      </c>
    </row>
    <row r="684">
      <c r="A684" s="5"/>
      <c r="B684" s="2" t="str">
        <f>IFERROR(__xludf.DUMMYFUNCTION("""COMPUTED_VALUE"""),"IEEE Symposium Series on Computational Intelligence")</f>
        <v>IEEE Symposium Series on Computational Intelligence</v>
      </c>
      <c r="C684" s="2" t="str">
        <f>IFERROR(__xludf.DUMMYFUNCTION("""COMPUTED_VALUE"""),"Série de Simpósios IEEE sobre Inteligência Computacional")</f>
        <v>Série de Simpósios IEEE sobre Inteligência Computacional</v>
      </c>
    </row>
    <row r="685">
      <c r="A685" s="4" t="s">
        <v>338</v>
      </c>
      <c r="B685" s="2" t="str">
        <f>IFERROR(__xludf.DUMMYFUNCTION("""COMPUTED_VALUE"""),"International Conference on Scientific and Statistical Database Management")</f>
        <v>International Conference on Scientific and Statistical Database Management</v>
      </c>
      <c r="C685" s="2" t="str">
        <f>IFERROR(__xludf.DUMMYFUNCTION("""COMPUTED_VALUE"""),"Conferência Internacional sobre Gestão de Bancos de Dados Científicos e Estatísticos")</f>
        <v>Conferência Internacional sobre Gestão de Bancos de Dados Científicos e Estatísticos</v>
      </c>
    </row>
    <row r="686">
      <c r="A686" s="5"/>
      <c r="B686" s="2" t="str">
        <f>IFERROR(__xludf.DUMMYFUNCTION("""COMPUTED_VALUE"""),"IEEE International Conference on Software Services Engineering")</f>
        <v>IEEE International Conference on Software Services Engineering</v>
      </c>
      <c r="C686" s="2" t="str">
        <f>IFERROR(__xludf.DUMMYFUNCTION("""COMPUTED_VALUE"""),"Conferência Internacional IEEE sobre Engenharia de Serviços de Software")</f>
        <v>Conferência Internacional IEEE sobre Engenharia de Serviços de Software</v>
      </c>
    </row>
    <row r="687">
      <c r="A687" s="4" t="s">
        <v>339</v>
      </c>
      <c r="B687" s="2" t="str">
        <f>IFERROR(__xludf.DUMMYFUNCTION("""COMPUTED_VALUE"""),"Southwest Symposium on Image Analysis and Interpretation")</f>
        <v>Southwest Symposium on Image Analysis and Interpretation</v>
      </c>
      <c r="C687" s="2" t="str">
        <f>IFERROR(__xludf.DUMMYFUNCTION("""COMPUTED_VALUE"""),"Simpósio Sudoeste sobre Análise e Interpretação de Imagem")</f>
        <v>Simpósio Sudoeste sobre Análise e Interpretação de Imagem</v>
      </c>
    </row>
    <row r="688">
      <c r="A688" s="5"/>
      <c r="B688" s="2" t="str">
        <f>IFERROR(__xludf.DUMMYFUNCTION("""COMPUTED_VALUE"""),"Brazilian Symposium in Information and Human Language Technology")</f>
        <v>Brazilian Symposium in Information and Human Language Technology</v>
      </c>
      <c r="C688" s="2" t="str">
        <f>IFERROR(__xludf.DUMMYFUNCTION("""COMPUTED_VALUE"""),"Simpósio Brasileiro de Tecnologia da Informação e Linguagem Humana")</f>
        <v>Simpósio Brasileiro de Tecnologia da Informação e Linguagem Humana</v>
      </c>
    </row>
    <row r="689">
      <c r="A689" s="4" t="s">
        <v>340</v>
      </c>
      <c r="B689" s="2" t="str">
        <f>IFERROR(__xludf.DUMMYFUNCTION("""COMPUTED_VALUE"""),"ACM Symposium on Theory of Computing")</f>
        <v>ACM Symposium on Theory of Computing</v>
      </c>
      <c r="C689" s="2" t="str">
        <f>IFERROR(__xludf.DUMMYFUNCTION("""COMPUTED_VALUE"""),"Simpósio ACM sobre Teoria da Computação")</f>
        <v>Simpósio ACM sobre Teoria da Computação</v>
      </c>
    </row>
    <row r="690">
      <c r="A690" s="5"/>
      <c r="B690" s="2" t="str">
        <f>IFERROR(__xludf.DUMMYFUNCTION("""COMPUTED_VALUE"""),"Symposium on Virtual and Augmented Reality")</f>
        <v>Symposium on Virtual and Augmented Reality</v>
      </c>
      <c r="C690" s="2" t="str">
        <f>IFERROR(__xludf.DUMMYFUNCTION("""COMPUTED_VALUE"""),"Simpósio sobre Realidade Virtual e Aumentada")</f>
        <v>Simpósio sobre Realidade Virtual e Aumentada</v>
      </c>
    </row>
    <row r="691">
      <c r="A691" s="4" t="s">
        <v>341</v>
      </c>
      <c r="B691" s="2" t="str">
        <f>IFERROR(__xludf.DUMMYFUNCTION("""COMPUTED_VALUE"""),"Conference Software Quality Days")</f>
        <v>Conference Software Quality Days</v>
      </c>
      <c r="C691" s="2" t="str">
        <f>IFERROR(__xludf.DUMMYFUNCTION("""COMPUTED_VALUE"""),"Conferência de Dias de Qualidade de Software")</f>
        <v>Conferência de Dias de Qualidade de Software</v>
      </c>
    </row>
    <row r="692">
      <c r="A692" s="5"/>
      <c r="B692" s="2" t="str">
        <f>IFERROR(__xludf.DUMMYFUNCTION("""COMPUTED_VALUE"""),"IEEE International Systems Conference")</f>
        <v>IEEE International Systems Conference</v>
      </c>
      <c r="C692" s="2" t="str">
        <f>IFERROR(__xludf.DUMMYFUNCTION("""COMPUTED_VALUE"""),"Conferência Internacional IEEE de Sistemas")</f>
        <v>Conferência Internacional IEEE de Sistemas</v>
      </c>
    </row>
    <row r="693">
      <c r="A693" s="4" t="s">
        <v>342</v>
      </c>
      <c r="B693" s="2" t="str">
        <f>IFERROR(__xludf.DUMMYFUNCTION("""COMPUTED_VALUE"""),"International Conference on Automated Reasoning with Analytic Tableaux and Related Methods")</f>
        <v>International Conference on Automated Reasoning with Analytic Tableaux and Related Methods</v>
      </c>
      <c r="C693" s="2" t="str">
        <f>IFERROR(__xludf.DUMMYFUNCTION("""COMPUTED_VALUE"""),"Conferência Internacional sobre Raciocínio Automatizado com Tableaux Analíticos e Métodos Relacionados")</f>
        <v>Conferência Internacional sobre Raciocínio Automatizado com Tableaux Analíticos e Métodos Relacionados</v>
      </c>
    </row>
    <row r="694">
      <c r="A694" s="5"/>
      <c r="B694" s="2" t="str">
        <f>IFERROR(__xludf.DUMMYFUNCTION("""COMPUTED_VALUE"""),"International Conference on Tools and Algorithms for the Construction and Analysis of Systems")</f>
        <v>International Conference on Tools and Algorithms for the Construction and Analysis of Systems</v>
      </c>
      <c r="C694" s="2" t="str">
        <f>IFERROR(__xludf.DUMMYFUNCTION("""COMPUTED_VALUE"""),"Conferência Internacional sobre Ferramentas e Algoritmos para a Construção e Análise de Sistemas")</f>
        <v>Conferência Internacional sobre Ferramentas e Algoritmos para a Construção e Análise de Sistemas</v>
      </c>
    </row>
    <row r="695">
      <c r="A695" s="4" t="s">
        <v>343</v>
      </c>
      <c r="B695" s="2" t="str">
        <f>IFERROR(__xludf.DUMMYFUNCTION("""COMPUTED_VALUE"""),"Theoretical Aspects of Software Engineering")</f>
        <v>Theoretical Aspects of Software Engineering</v>
      </c>
      <c r="C695" s="2" t="str">
        <f>IFERROR(__xludf.DUMMYFUNCTION("""COMPUTED_VALUE"""),"Aspectos Teóricos da Engenharia de Software")</f>
        <v>Aspectos Teóricos da Engenharia de Software</v>
      </c>
    </row>
    <row r="696">
      <c r="A696" s="5"/>
      <c r="B696" s="2" t="str">
        <f>IFERROR(__xludf.DUMMYFUNCTION("""COMPUTED_VALUE"""),"International Conference on Technical Debt")</f>
        <v>International Conference on Technical Debt</v>
      </c>
      <c r="C696" s="2" t="str">
        <f>IFERROR(__xludf.DUMMYFUNCTION("""COMPUTED_VALUE"""),"Conferência Internacional sobre Dívida Técnica")</f>
        <v>Conferência Internacional sobre Dívida Técnica</v>
      </c>
    </row>
    <row r="697">
      <c r="A697" s="4" t="s">
        <v>344</v>
      </c>
      <c r="B697" s="2" t="str">
        <f>IFERROR(__xludf.DUMMYFUNCTION("""COMPUTED_VALUE"""),"Technological Ecosystems for Enhancing Multiculturality")</f>
        <v>Technological Ecosystems for Enhancing Multiculturality</v>
      </c>
      <c r="C697" s="2" t="str">
        <f>IFERROR(__xludf.DUMMYFUNCTION("""COMPUTED_VALUE"""),"Ecossistemas Tecnológicos para Melhorar a Multiculturalidade")</f>
        <v>Ecossistemas Tecnológicos para Melhorar a Multiculturalidade</v>
      </c>
    </row>
    <row r="698">
      <c r="A698" s="5"/>
      <c r="B698" s="2" t="str">
        <f>IFERROR(__xludf.DUMMYFUNCTION("""COMPUTED_VALUE"""),"Congreso Internacional de Informática Educativa")</f>
        <v>Congreso Internacional de Informática Educativa</v>
      </c>
      <c r="C698" s="2" t="str">
        <f>IFERROR(__xludf.DUMMYFUNCTION("""COMPUTED_VALUE"""),"International Congress on Educational Informatics")</f>
        <v>International Congress on Educational Informatics</v>
      </c>
    </row>
    <row r="699">
      <c r="A699" s="4" t="s">
        <v>345</v>
      </c>
      <c r="B699" s="2" t="str">
        <f>IFERROR(__xludf.DUMMYFUNCTION("""COMPUTED_VALUE"""),"The Network Traffic Measurement and Analysis Conference")</f>
        <v>The Network Traffic Measurement and Analysis Conference</v>
      </c>
      <c r="C699" s="2" t="str">
        <f>IFERROR(__xludf.DUMMYFUNCTION("""COMPUTED_VALUE"""),"Conferência de Medição e Análise de Tráfego de Rede")</f>
        <v>Conferência de Medição e Análise de Tráfego de Rede</v>
      </c>
    </row>
    <row r="700">
      <c r="A700" s="5"/>
      <c r="B700" s="2" t="str">
        <f>IFERROR(__xludf.DUMMYFUNCTION("""COMPUTED_VALUE"""),"International Workshop on Trust in Agent societies")</f>
        <v>International Workshop on Trust in Agent societies</v>
      </c>
      <c r="C700" s="2" t="str">
        <f>IFERROR(__xludf.DUMMYFUNCTION("""COMPUTED_VALUE"""),"Workshop Internacional sobre Confiança em Sociedades de Agentes")</f>
        <v>Workshop Internacional sobre Confiança em Sociedades de Agentes</v>
      </c>
    </row>
    <row r="701">
      <c r="A701" s="4" t="s">
        <v>346</v>
      </c>
      <c r="B701" s="2" t="str">
        <f>IFERROR(__xludf.DUMMYFUNCTION("""COMPUTED_VALUE"""),"International Conference on Trust, Security and Privacy in Computing and Communications")</f>
        <v>International Conference on Trust, Security and Privacy in Computing and Communications</v>
      </c>
      <c r="C701" s="2" t="str">
        <f>IFERROR(__xludf.DUMMYFUNCTION("""COMPUTED_VALUE"""),"Conferência Internacional sobre Confiança, Segurança e Privacidade em Computação e Comunicações")</f>
        <v>Conferência Internacional sobre Confiança, Segurança e Privacidade em Computação e Comunicações</v>
      </c>
    </row>
    <row r="702">
      <c r="A702" s="5"/>
      <c r="B702" s="2" t="str">
        <f>IFERROR(__xludf.DUMMYFUNCTION("""COMPUTED_VALUE"""),"International Conference on Text, Speech and Dialogue")</f>
        <v>International Conference on Text, Speech and Dialogue</v>
      </c>
      <c r="C702" s="2" t="str">
        <f>IFERROR(__xludf.DUMMYFUNCTION("""COMPUTED_VALUE"""),"Conferência Internacional sobre Texto, Fala e Diálogo")</f>
        <v>Conferência Internacional sobre Texto, Fala e Diálogo</v>
      </c>
    </row>
    <row r="703">
      <c r="A703" s="4" t="s">
        <v>347</v>
      </c>
      <c r="B703" s="2" t="str">
        <f>IFERROR(__xludf.DUMMYFUNCTION("""COMPUTED_VALUE"""),"Workshop de Música Ubíqua")</f>
        <v>Workshop de Música Ubíqua</v>
      </c>
      <c r="C703" s="2" t="str">
        <f>IFERROR(__xludf.DUMMYFUNCTION("""COMPUTED_VALUE"""),"Workshop on Ubiquitous Music")</f>
        <v>Workshop on Ubiquitous Music</v>
      </c>
    </row>
    <row r="704">
      <c r="A704" s="5"/>
      <c r="B704" s="2" t="str">
        <f>IFERROR(__xludf.DUMMYFUNCTION("""COMPUTED_VALUE"""),"IEEE/ACM International Conference on Utility and Cloud Computing")</f>
        <v>IEEE/ACM International Conference on Utility and Cloud Computing</v>
      </c>
      <c r="C704" s="2" t="str">
        <f>IFERROR(__xludf.DUMMYFUNCTION("""COMPUTED_VALUE"""),"Conferência Internacional IEEE/ACM sobre Computação em Nuvem e Utilidade")</f>
        <v>Conferência Internacional IEEE/ACM sobre Computação em Nuvem e Utilidade</v>
      </c>
    </row>
    <row r="705">
      <c r="A705" s="4" t="s">
        <v>348</v>
      </c>
      <c r="B705" s="2" t="str">
        <f>IFERROR(__xludf.DUMMYFUNCTION("""COMPUTED_VALUE"""),"ACM Conference on User Modeling, Adaptation and Personalization")</f>
        <v>ACM Conference on User Modeling, Adaptation and Personalization</v>
      </c>
      <c r="C705" s="2" t="str">
        <f>IFERROR(__xludf.DUMMYFUNCTION("""COMPUTED_VALUE"""),"Conferência ACM sobre Modelagem de Usuário, Adaptação e Personalização")</f>
        <v>Conferência ACM sobre Modelagem de Usuário, Adaptação e Personalização</v>
      </c>
    </row>
    <row r="706">
      <c r="A706" s="5"/>
      <c r="B706" s="2" t="str">
        <f>IFERROR(__xludf.DUMMYFUNCTION("""COMPUTED_VALUE"""),"International Workshop on Unification")</f>
        <v>International Workshop on Unification</v>
      </c>
      <c r="C706" s="2" t="str">
        <f>IFERROR(__xludf.DUMMYFUNCTION("""COMPUTED_VALUE"""),"Workshop Internacional sobre Unificação")</f>
        <v>Workshop Internacional sobre Unificação</v>
      </c>
    </row>
    <row r="707">
      <c r="A707" s="4" t="s">
        <v>349</v>
      </c>
      <c r="B707" s="2" t="str">
        <f>IFERROR(__xludf.DUMMYFUNCTION("""COMPUTED_VALUE"""),"Congresso Internacional de Ergonomia e Usabilidade de Interfaces Humano Computador")</f>
        <v>Congresso Internacional de Ergonomia e Usabilidade de Interfaces Humano Computador</v>
      </c>
      <c r="C707" s="2" t="str">
        <f>IFERROR(__xludf.DUMMYFUNCTION("""COMPUTED_VALUE"""),"International Congress on Ergonomics and Usability of Human-Computer Interfaces")</f>
        <v>International Congress on Ergonomics and Usability of Human-Computer Interfaces</v>
      </c>
    </row>
    <row r="708">
      <c r="A708" s="5"/>
      <c r="B708" s="2" t="str">
        <f>IFERROR(__xludf.DUMMYFUNCTION("""COMPUTED_VALUE"""),"International Workshop on Variability Modelling of Software-intensive Systems")</f>
        <v>International Workshop on Variability Modelling of Software-intensive Systems</v>
      </c>
      <c r="C708" s="2" t="str">
        <f>IFERROR(__xludf.DUMMYFUNCTION("""COMPUTED_VALUE"""),"Workshop Internacional sobre Modelagem de Variabilidade de Sistemas Intensivos em Software")</f>
        <v>Workshop Internacional sobre Modelagem de Variabilidade de Sistemas Intensivos em Software</v>
      </c>
    </row>
    <row r="709">
      <c r="A709" s="4" t="s">
        <v>350</v>
      </c>
      <c r="B709" s="2" t="str">
        <f>IFERROR(__xludf.DUMMYFUNCTION("""COMPUTED_VALUE"""),"IEEE International Conference on Visual Communications and Image Processing")</f>
        <v>IEEE International Conference on Visual Communications and Image Processing</v>
      </c>
      <c r="C709" s="2" t="str">
        <f>IFERROR(__xludf.DUMMYFUNCTION("""COMPUTED_VALUE"""),"Conferência Internacional IEEE sobre Comunicações Visuais e Processamento de Imagens")</f>
        <v>Conferência Internacional IEEE sobre Comunicações Visuais e Processamento de Imagens</v>
      </c>
    </row>
    <row r="710">
      <c r="A710" s="5"/>
      <c r="B710" s="2" t="str">
        <f>IFERROR(__xludf.DUMMYFUNCTION("""COMPUTED_VALUE"""),"Workshop on Software Visualization, Evolution and Maintenance")</f>
        <v>Workshop on Software Visualization, Evolution and Maintenance</v>
      </c>
      <c r="C710" s="2" t="str">
        <f>IFERROR(__xludf.DUMMYFUNCTION("""COMPUTED_VALUE"""),"Workshop sobre Visualização, Evolução e Manutenção de Software")</f>
        <v>Workshop sobre Visualização, Evolução e Manutenção de Software</v>
      </c>
    </row>
    <row r="711">
      <c r="A711" s="4" t="s">
        <v>351</v>
      </c>
      <c r="B711" s="2" t="str">
        <f>IFERROR(__xludf.DUMMYFUNCTION("""COMPUTED_VALUE"""),"Conference on Videogame Sciences and Arts")</f>
        <v>Conference on Videogame Sciences and Arts</v>
      </c>
      <c r="C711" s="2" t="str">
        <f>IFERROR(__xludf.DUMMYFUNCTION("""COMPUTED_VALUE"""),"Conferência sobre Ciências e Artes de Videogames")</f>
        <v>Conferência sobre Ciências e Artes de Videogames</v>
      </c>
    </row>
    <row r="712">
      <c r="A712" s="5"/>
      <c r="B712" s="2" t="str">
        <f>IFERROR(__xludf.DUMMYFUNCTION("""COMPUTED_VALUE"""),"International Conference on Computer Vision Theory and Applications")</f>
        <v>International Conference on Computer Vision Theory and Applications</v>
      </c>
      <c r="C712" s="2" t="str">
        <f>IFERROR(__xludf.DUMMYFUNCTION("""COMPUTED_VALUE"""),"Conferência Internacional sobre Teoria e Aplicações de Visão Computacional")</f>
        <v>Conferência Internacional sobre Teoria e Aplicações de Visão Computacional</v>
      </c>
    </row>
    <row r="713">
      <c r="A713" s="4" t="s">
        <v>352</v>
      </c>
      <c r="B713" s="2" t="str">
        <f>IFERROR(__xludf.DUMMYFUNCTION("""COMPUTED_VALUE"""),"Conference on Computer Vision, Imaging and Computer Graphics Theory and Applications")</f>
        <v>Conference on Computer Vision, Imaging and Computer Graphics Theory and Applications</v>
      </c>
      <c r="C713" s="2" t="str">
        <f>IFERROR(__xludf.DUMMYFUNCTION("""COMPUTED_VALUE"""),"Conferência sobre Visão Computacional, Imagem e Teoria e Aplicações de Computação Gráfica")</f>
        <v>Conferência sobre Visão Computacional, Imagem e Teoria e Aplicações de Computação Gráfica</v>
      </c>
    </row>
    <row r="714">
      <c r="A714" s="5"/>
      <c r="B714" s="2" t="str">
        <f>IFERROR(__xludf.DUMMYFUNCTION("""COMPUTED_VALUE"""),"IEEE Working Conference on Software Visualization")</f>
        <v>IEEE Working Conference on Software Visualization</v>
      </c>
      <c r="C714" s="2" t="str">
        <f>IFERROR(__xludf.DUMMYFUNCTION("""COMPUTED_VALUE"""),"Conferência de Trabalho IEEE sobre Visualização de Software")</f>
        <v>Conferência de Trabalho IEEE sobre Visualização de Software</v>
      </c>
    </row>
    <row r="715">
      <c r="A715" s="4" t="s">
        <v>353</v>
      </c>
      <c r="B715" s="2" t="str">
        <f>IFERROR(__xludf.DUMMYFUNCTION("""COMPUTED_VALUE"""),"IEEE Symposium on Visual Languages and Human-Centric Computing")</f>
        <v>IEEE Symposium on Visual Languages and Human-Centric Computing</v>
      </c>
      <c r="C715" s="2" t="str">
        <f>IFERROR(__xludf.DUMMYFUNCTION("""COMPUTED_VALUE"""),"Simpósio IEEE sobre Linguagens Visuais e Computação Centrada no Humano")</f>
        <v>Simpósio IEEE sobre Linguagens Visuais e Computação Centrada no Humano</v>
      </c>
    </row>
    <row r="716">
      <c r="A716" s="5"/>
      <c r="B716" s="2" t="str">
        <f>IFERROR(__xludf.DUMMYFUNCTION("""COMPUTED_VALUE"""),"IEEE/IFIP International Conference on VLSI and System-on-Chip")</f>
        <v>IEEE/IFIP International Conference on VLSI and System-on-Chip</v>
      </c>
      <c r="C716" s="2" t="str">
        <f>IFERROR(__xludf.DUMMYFUNCTION("""COMPUTED_VALUE"""),"Conferência Internacional IEEE/IFIP sobre VLSI e Sistema em um Chip")</f>
        <v>Conferência Internacional IEEE/IFIP sobre VLSI e Sistema em um Chip</v>
      </c>
    </row>
    <row r="717">
      <c r="A717" s="4" t="s">
        <v>354</v>
      </c>
      <c r="B717" s="2" t="str">
        <f>IFERROR(__xludf.DUMMYFUNCTION("""COMPUTED_VALUE"""),"IEEE Vehicular Networking Conference")</f>
        <v>IEEE Vehicular Networking Conference</v>
      </c>
      <c r="C717" s="2" t="str">
        <f>IFERROR(__xludf.DUMMYFUNCTION("""COMPUTED_VALUE"""),"Conferência IEEE de Redes Veiculares")</f>
        <v>Conferência IEEE de Redes Veiculares</v>
      </c>
    </row>
    <row r="718">
      <c r="A718" s="5"/>
      <c r="B718" s="2" t="str">
        <f>IFERROR(__xludf.DUMMYFUNCTION("""COMPUTED_VALUE"""),"IEEE Conference Virtual Reality and 3D User Interfaces")</f>
        <v>IEEE Conference Virtual Reality and 3D User Interfaces</v>
      </c>
      <c r="C718" s="2" t="str">
        <f>IFERROR(__xludf.DUMMYFUNCTION("""COMPUTED_VALUE"""),"Conferência IEEE sobre Realidade Virtual e Interfaces de Usuário 3D")</f>
        <v>Conferência IEEE sobre Realidade Virtual e Interfaces de Usuário 3D</v>
      </c>
    </row>
    <row r="719">
      <c r="A719" s="4" t="s">
        <v>355</v>
      </c>
      <c r="B719" s="2" t="str">
        <f>IFERROR(__xludf.DUMMYFUNCTION("""COMPUTED_VALUE"""),"ACM Symposium on Virtual Reality Software and Technology")</f>
        <v>ACM Symposium on Virtual Reality Software and Technology</v>
      </c>
      <c r="C719" s="2" t="str">
        <f>IFERROR(__xludf.DUMMYFUNCTION("""COMPUTED_VALUE"""),"Simpósio ACM sobre Software e Tecnologia de Realidade Virtual")</f>
        <v>Simpósio ACM sobre Software e Tecnologia de Realidade Virtual</v>
      </c>
    </row>
    <row r="720">
      <c r="A720" s="5"/>
      <c r="B720" s="2" t="str">
        <f>IFERROR(__xludf.DUMMYFUNCTION("""COMPUTED_VALUE"""),"Vehicular Technology Conference")</f>
        <v>Vehicular Technology Conference</v>
      </c>
      <c r="C720" s="2" t="str">
        <f>IFERROR(__xludf.DUMMYFUNCTION("""COMPUTED_VALUE"""),"Conferência de Tecnologia Veicular")</f>
        <v>Conferência de Tecnologia Veicular</v>
      </c>
    </row>
    <row r="721">
      <c r="A721" s="4" t="s">
        <v>356</v>
      </c>
      <c r="B721" s="2" t="str">
        <f>IFERROR(__xludf.DUMMYFUNCTION("""COMPUTED_VALUE"""),"IEEE VLSI Test Symposium")</f>
        <v>IEEE VLSI Test Symposium</v>
      </c>
      <c r="C721" s="2" t="str">
        <f>IFERROR(__xludf.DUMMYFUNCTION("""COMPUTED_VALUE"""),"Simpósio de Testes VLSI IEEE")</f>
        <v>Simpósio de Testes VLSI IEEE</v>
      </c>
    </row>
    <row r="722">
      <c r="A722" s="5"/>
      <c r="B722" s="2" t="str">
        <f>IFERROR(__xludf.DUMMYFUNCTION("""COMPUTED_VALUE"""),"Conference on Web Accessibility")</f>
        <v>Conference on Web Accessibility</v>
      </c>
      <c r="C722" s="2" t="str">
        <f>IFERROR(__xludf.DUMMYFUNCTION("""COMPUTED_VALUE"""),"Conferência sobre Acessibilidade Web")</f>
        <v>Conferência sobre Acessibilidade Web</v>
      </c>
    </row>
    <row r="723">
      <c r="A723" s="4" t="s">
        <v>357</v>
      </c>
      <c r="B723" s="2" t="str">
        <f>IFERROR(__xludf.DUMMYFUNCTION("""COMPUTED_VALUE"""),"Workshop on Algorithms in Bioinformatics")</f>
        <v>Workshop on Algorithms in Bioinformatics</v>
      </c>
      <c r="C723" s="2" t="str">
        <f>IFERROR(__xludf.DUMMYFUNCTION("""COMPUTED_VALUE"""),"Workshop sobre Algoritmos em Bioinformática")</f>
        <v>Workshop sobre Algoritmos em Bioinformática</v>
      </c>
    </row>
    <row r="724">
      <c r="A724" s="5"/>
      <c r="B724" s="2" t="str">
        <f>IFERROR(__xludf.DUMMYFUNCTION("""COMPUTED_VALUE"""),"Web Audio Conference")</f>
        <v>Web Audio Conference</v>
      </c>
      <c r="C724" s="2" t="str">
        <f>IFERROR(__xludf.DUMMYFUNCTION("""COMPUTED_VALUE"""),"Conferência de Áudio Web")</f>
        <v>Conferência de Áudio Web</v>
      </c>
    </row>
    <row r="725">
      <c r="A725" s="4" t="s">
        <v>358</v>
      </c>
      <c r="B725" s="2" t="str">
        <f>IFERROR(__xludf.DUMMYFUNCTION("""COMPUTED_VALUE"""),"Workshop on Applications of Computer Vision")</f>
        <v>Workshop on Applications of Computer Vision</v>
      </c>
      <c r="C725" s="2" t="str">
        <f>IFERROR(__xludf.DUMMYFUNCTION("""COMPUTED_VALUE"""),"Workshop sobre Aplicações de Visão Computacional")</f>
        <v>Workshop sobre Aplicações de Visão Computacional</v>
      </c>
    </row>
    <row r="726">
      <c r="A726" s="5"/>
      <c r="B726" s="2" t="str">
        <f>IFERROR(__xludf.DUMMYFUNCTION("""COMPUTED_VALUE"""),"Workshop sobre Aspectos da Interação Humano-Computador para a Web Social")</f>
        <v>Workshop sobre Aspectos da Interação Humano-Computador para a Web Social</v>
      </c>
      <c r="C726" s="2" t="str">
        <f>IFERROR(__xludf.DUMMYFUNCTION("""COMPUTED_VALUE"""),"Workshop on Aspects of Human-Computer Interaction for the Social Web")</f>
        <v>Workshop on Aspects of Human-Computer Interaction for the Social Web</v>
      </c>
    </row>
    <row r="727">
      <c r="A727" s="4" t="s">
        <v>359</v>
      </c>
      <c r="B727" s="2" t="str">
        <f>IFERROR(__xludf.DUMMYFUNCTION("""COMPUTED_VALUE"""),"International Workshop on Algorithms and Computation")</f>
        <v>International Workshop on Algorithms and Computation</v>
      </c>
      <c r="C727" s="2" t="str">
        <f>IFERROR(__xludf.DUMMYFUNCTION("""COMPUTED_VALUE"""),"Workshop Internacional sobre Algoritmos e Computação")</f>
        <v>Workshop Internacional sobre Algoritmos e Computação</v>
      </c>
    </row>
    <row r="728">
      <c r="A728" s="5"/>
      <c r="B728" s="2" t="str">
        <f>IFERROR(__xludf.DUMMYFUNCTION("""COMPUTED_VALUE"""),"Workshop on Approximation and Online Algorithms")</f>
        <v>Workshop on Approximation and Online Algorithms</v>
      </c>
      <c r="C728" s="2" t="str">
        <f>IFERROR(__xludf.DUMMYFUNCTION("""COMPUTED_VALUE"""),"Workshop sobre Algoritmos de Aproximação e Online")</f>
        <v>Workshop sobre Algoritmos de Aproximação e Online</v>
      </c>
    </row>
    <row r="729">
      <c r="A729" s="4" t="s">
        <v>360</v>
      </c>
      <c r="B729" s="2" t="str">
        <f>IFERROR(__xludf.DUMMYFUNCTION("""COMPUTED_VALUE"""),"Workshop sobre Aspectos Sociais, Humanos e Econômicos de Software")</f>
        <v>Workshop sobre Aspectos Sociais, Humanos e Econômicos de Software</v>
      </c>
      <c r="C729" s="2" t="str">
        <f>IFERROR(__xludf.DUMMYFUNCTION("""COMPUTED_VALUE"""),"Workshop on Social, Human and Economic Aspects of Software")</f>
        <v>Workshop on Social, Human and Economic Aspects of Software</v>
      </c>
    </row>
    <row r="730">
      <c r="A730" s="5"/>
      <c r="B730" s="2" t="str">
        <f>IFERROR(__xludf.DUMMYFUNCTION("""COMPUTED_VALUE"""),"Workshop on Computational Approaches to Subjectivity, Sentiment and Social Media Analysis")</f>
        <v>Workshop on Computational Approaches to Subjectivity, Sentiment and Social Media Analysis</v>
      </c>
      <c r="C730" s="2" t="str">
        <f>IFERROR(__xludf.DUMMYFUNCTION("""COMPUTED_VALUE"""),"Workshop sobre Abordagens Computacionais para Subjetividade, Sentimento e Análise de Mídia Social")</f>
        <v>Workshop sobre Abordagens Computacionais para Subjetividade, Sentimento e Análise de Mídia Social</v>
      </c>
    </row>
    <row r="731">
      <c r="A731" s="4" t="s">
        <v>361</v>
      </c>
      <c r="B731" s="2" t="str">
        <f>IFERROR(__xludf.DUMMYFUNCTION("""COMPUTED_VALUE"""),"Workshop on Advanced Virtual Environments and Education")</f>
        <v>Workshop on Advanced Virtual Environments and Education</v>
      </c>
      <c r="C731" s="2" t="str">
        <f>IFERROR(__xludf.DUMMYFUNCTION("""COMPUTED_VALUE"""),"Workshop sobre Ambientes Virtuais Avançados e Educação")</f>
        <v>Workshop sobre Ambientes Virtuais Avançados e Educação</v>
      </c>
    </row>
    <row r="732">
      <c r="A732" s="5"/>
      <c r="B732" s="2" t="str">
        <f>IFERROR(__xludf.DUMMYFUNCTION("""COMPUTED_VALUE"""),"Workshop Brasileiro de Cidades Inteligentes")</f>
        <v>Workshop Brasileiro de Cidades Inteligentes</v>
      </c>
      <c r="C732" s="2" t="str">
        <f>IFERROR(__xludf.DUMMYFUNCTION("""COMPUTED_VALUE"""),"Brazilian Workshop on Smart Cities")</f>
        <v>Brazilian Workshop on Smart Cities</v>
      </c>
    </row>
    <row r="733">
      <c r="A733" s="4" t="s">
        <v>362</v>
      </c>
      <c r="B733" s="2" t="str">
        <f>IFERROR(__xludf.DUMMYFUNCTION("""COMPUTED_VALUE"""),"Workshop Brasileiro de Lógica")</f>
        <v>Workshop Brasileiro de Lógica</v>
      </c>
      <c r="C733" s="2" t="str">
        <f>IFERROR(__xludf.DUMMYFUNCTION("""COMPUTED_VALUE"""),"Brazilian Workshop on Logic")</f>
        <v>Brazilian Workshop on Logic</v>
      </c>
    </row>
    <row r="734">
      <c r="A734" s="5"/>
      <c r="B734" s="2" t="str">
        <f>IFERROR(__xludf.DUMMYFUNCTION("""COMPUTED_VALUE"""),"Workshop em Blockchain: Teoria, Tecnologias e Aplicações")</f>
        <v>Workshop em Blockchain: Teoria, Tecnologias e Aplicações</v>
      </c>
      <c r="C734" s="2" t="str">
        <f>IFERROR(__xludf.DUMMYFUNCTION("""COMPUTED_VALUE"""),"Workshop on Blockchain: Theory, Technologies and Applications")</f>
        <v>Workshop on Blockchain: Theory, Technologies and Applications</v>
      </c>
    </row>
    <row r="735">
      <c r="A735" s="4" t="s">
        <v>363</v>
      </c>
      <c r="B735" s="2" t="str">
        <f>IFERROR(__xludf.DUMMYFUNCTION("""COMPUTED_VALUE"""),"Workshop Brasileiro de Métodos Ágeis")</f>
        <v>Workshop Brasileiro de Métodos Ágeis</v>
      </c>
      <c r="C735" s="2" t="str">
        <f>IFERROR(__xludf.DUMMYFUNCTION("""COMPUTED_VALUE"""),"Brazilian Workshop on Agile Methods")</f>
        <v>Brazilian Workshop on Agile Methods</v>
      </c>
    </row>
    <row r="736">
      <c r="A736" s="5"/>
      <c r="B736" s="2" t="str">
        <f>IFERROR(__xludf.DUMMYFUNCTION("""COMPUTED_VALUE"""),"Workshop de Computação Aplicada à Gestão do Meio Ambiente e Recursos Naturais")</f>
        <v>Workshop de Computação Aplicada à Gestão do Meio Ambiente e Recursos Naturais</v>
      </c>
      <c r="C736" s="2" t="str">
        <f>IFERROR(__xludf.DUMMYFUNCTION("""COMPUTED_VALUE"""),"Workshop on Computing Applied to Environmental and Natural Resource Management")</f>
        <v>Workshop on Computing Applied to Environmental and Natural Resource Management</v>
      </c>
    </row>
    <row r="737">
      <c r="A737" s="4" t="s">
        <v>364</v>
      </c>
      <c r="B737" s="2" t="str">
        <f>IFERROR(__xludf.DUMMYFUNCTION("""COMPUTED_VALUE"""),"Workshop on Circuits and Systems Design")</f>
        <v>Workshop on Circuits and Systems Design</v>
      </c>
      <c r="C737" s="2" t="str">
        <f>IFERROR(__xludf.DUMMYFUNCTION("""COMPUTED_VALUE"""),"Workshop sobre Design de Circuitos e Sistemas")</f>
        <v>Workshop sobre Design de Circuitos e Sistemas</v>
      </c>
    </row>
    <row r="738">
      <c r="A738" s="5"/>
      <c r="B738" s="2" t="str">
        <f>IFERROR(__xludf.DUMMYFUNCTION("""COMPUTED_VALUE"""),"Workshop de Computação Aplicada ao Governo Eletrônico")</f>
        <v>Workshop de Computação Aplicada ao Governo Eletrônico</v>
      </c>
      <c r="C738" s="2" t="str">
        <f>IFERROR(__xludf.DUMMYFUNCTION("""COMPUTED_VALUE"""),"Workshop on Computing Applied to E-Government")</f>
        <v>Workshop on Computing Applied to E-Government</v>
      </c>
    </row>
    <row r="739">
      <c r="A739" s="4" t="s">
        <v>365</v>
      </c>
      <c r="B739" s="2" t="str">
        <f>IFERROR(__xludf.DUMMYFUNCTION("""COMPUTED_VALUE"""),"IEEE Wireless Communications and Networking Conference")</f>
        <v>IEEE Wireless Communications and Networking Conference</v>
      </c>
      <c r="C739" s="2" t="str">
        <f>IFERROR(__xludf.DUMMYFUNCTION("""COMPUTED_VALUE"""),"Conferência IEEE de Comunicações e Redes Sem Fio")</f>
        <v>Conferência IEEE de Comunicações e Redes Sem Fio</v>
      </c>
    </row>
    <row r="740">
      <c r="A740" s="5"/>
      <c r="B740" s="2" t="str">
        <f>IFERROR(__xludf.DUMMYFUNCTION("""COMPUTED_VALUE"""),"Workshop on Communication Networks and Power Systems")</f>
        <v>Workshop on Communication Networks and Power Systems</v>
      </c>
      <c r="C740" s="2" t="str">
        <f>IFERROR(__xludf.DUMMYFUNCTION("""COMPUTED_VALUE"""),"Workshop sobre Redes de Comunicação e Sistemas de Energia")</f>
        <v>Workshop sobre Redes de Comunicação e Sistemas de Energia</v>
      </c>
    </row>
    <row r="741">
      <c r="A741" s="4" t="s">
        <v>366</v>
      </c>
      <c r="B741" s="2" t="str">
        <f>IFERROR(__xludf.DUMMYFUNCTION("""COMPUTED_VALUE"""),"Wireless Days Conference")</f>
        <v>Wireless Days Conference</v>
      </c>
      <c r="C741" s="2" t="str">
        <f>IFERROR(__xludf.DUMMYFUNCTION("""COMPUTED_VALUE"""),"Conferência Wireless Days")</f>
        <v>Conferência Wireless Days</v>
      </c>
    </row>
    <row r="742">
      <c r="A742" s="5"/>
      <c r="B742" s="2" t="str">
        <f>IFERROR(__xludf.DUMMYFUNCTION("""COMPUTED_VALUE"""),"International Conference on 3D Web Technology")</f>
        <v>International Conference on 3D Web Technology</v>
      </c>
      <c r="C742" s="2" t="str">
        <f>IFERROR(__xludf.DUMMYFUNCTION("""COMPUTED_VALUE"""),"Conferência Internacional sobre Tecnologia Web 3D")</f>
        <v>Conferência Internacional sobre Tecnologia Web 3D</v>
      </c>
    </row>
    <row r="743">
      <c r="A743" s="4" t="s">
        <v>367</v>
      </c>
      <c r="B743" s="2" t="str">
        <f>IFERROR(__xludf.DUMMYFUNCTION("""COMPUTED_VALUE"""),"International Web for All Conference")</f>
        <v>International Web for All Conference</v>
      </c>
      <c r="C743" s="2" t="str">
        <f>IFERROR(__xludf.DUMMYFUNCTION("""COMPUTED_VALUE"""),"Conferência Internacional Web for All")</f>
        <v>Conferência Internacional Web for All</v>
      </c>
    </row>
    <row r="744">
      <c r="A744" s="5"/>
      <c r="B744" s="2" t="str">
        <f>IFERROR(__xludf.DUMMYFUNCTION("""COMPUTED_VALUE"""),"International Conference on Web Information Systems and Technologies")</f>
        <v>International Conference on Web Information Systems and Technologies</v>
      </c>
      <c r="C744" s="2" t="str">
        <f>IFERROR(__xludf.DUMMYFUNCTION("""COMPUTED_VALUE"""),"Conferência Internacional sobre Sistemas e Tecnologias de Informação Web")</f>
        <v>Conferência Internacional sobre Sistemas e Tecnologias de Informação Web</v>
      </c>
    </row>
    <row r="745">
      <c r="A745" s="4" t="s">
        <v>368</v>
      </c>
      <c r="B745" s="2" t="str">
        <f>IFERROR(__xludf.DUMMYFUNCTION("""COMPUTED_VALUE"""),"Brazilian Symposium on Multimedia and the Web")</f>
        <v>Brazilian Symposium on Multimedia and the Web</v>
      </c>
      <c r="C745" s="2" t="str">
        <f>IFERROR(__xludf.DUMMYFUNCTION("""COMPUTED_VALUE"""),"Simpósio Brasileiro de Multimídia e Web")</f>
        <v>Simpósio Brasileiro de Multimídia e Web</v>
      </c>
    </row>
    <row r="746">
      <c r="A746" s="5"/>
      <c r="B746" s="2" t="str">
        <f>IFERROR(__xludf.DUMMYFUNCTION("""COMPUTED_VALUE"""),"ACM Web Science Conference")</f>
        <v>ACM Web Science Conference</v>
      </c>
      <c r="C746" s="2" t="str">
        <f>IFERROR(__xludf.DUMMYFUNCTION("""COMPUTED_VALUE"""),"Conferência ACM sobre Web Science")</f>
        <v>Conferência ACM sobre Web Science</v>
      </c>
    </row>
    <row r="747">
      <c r="A747" s="4" t="s">
        <v>369</v>
      </c>
      <c r="B747" s="2" t="str">
        <f>IFERROR(__xludf.DUMMYFUNCTION("""COMPUTED_VALUE"""),"Workshop sobre Educação em Computação")</f>
        <v>Workshop sobre Educação em Computação</v>
      </c>
      <c r="C747" s="2" t="str">
        <f>IFERROR(__xludf.DUMMYFUNCTION("""COMPUTED_VALUE"""),"Workshop on Computing Education")</f>
        <v>Workshop on Computing Education</v>
      </c>
    </row>
    <row r="748">
      <c r="A748" s="5"/>
      <c r="B748" s="2" t="str">
        <f>IFERROR(__xludf.DUMMYFUNCTION("""COMPUTED_VALUE"""),"Workshop sobre Educação em IHC")</f>
        <v>Workshop sobre Educação em IHC</v>
      </c>
      <c r="C748" s="2" t="str">
        <f>IFERROR(__xludf.DUMMYFUNCTION("""COMPUTED_VALUE"""),"Workshop on Education in HCI")</f>
        <v>Workshop on Education in HCI</v>
      </c>
    </row>
    <row r="749">
      <c r="A749" s="4" t="s">
        <v>370</v>
      </c>
      <c r="B749" s="2" t="str">
        <f>IFERROR(__xludf.DUMMYFUNCTION("""COMPUTED_VALUE"""),"Workshop on Requirements Engineering")</f>
        <v>Workshop on Requirements Engineering</v>
      </c>
      <c r="C749" s="2" t="str">
        <f>IFERROR(__xludf.DUMMYFUNCTION("""COMPUTED_VALUE"""),"Workshop sobre Engenharia de Requisitos")</f>
        <v>Workshop sobre Engenharia de Requisitos</v>
      </c>
    </row>
    <row r="750">
      <c r="A750" s="5"/>
      <c r="B750" s="2" t="str">
        <f>IFERROR(__xludf.DUMMYFUNCTION("""COMPUTED_VALUE"""),"IEEE International Conference on Enabling Technologies: Infrastructure for Collaborative Enterprises")</f>
        <v>IEEE International Conference on Enabling Technologies: Infrastructure for Collaborative Enterprises</v>
      </c>
      <c r="C750" s="2" t="str">
        <f>IFERROR(__xludf.DUMMYFUNCTION("""COMPUTED_VALUE"""),"Conferência Internacional IEEE sobre Tecnologias Habilitadoras: Infraestrutura para Empresas Colaborativas")</f>
        <v>Conferência Internacional IEEE sobre Tecnologias Habilitadoras: Infraestrutura para Empresas Colaborativas</v>
      </c>
    </row>
    <row r="751">
      <c r="A751" s="4" t="s">
        <v>371</v>
      </c>
      <c r="B751" s="2" t="str">
        <f>IFERROR(__xludf.DUMMYFUNCTION("""COMPUTED_VALUE"""),"IEEE World Forum on Internet of Things")</f>
        <v>IEEE World Forum on Internet of Things</v>
      </c>
      <c r="C751" s="2" t="str">
        <f>IFERROR(__xludf.DUMMYFUNCTION("""COMPUTED_VALUE"""),"Fórum Mundial IEEE sobre Internet das Coisas")</f>
        <v>Fórum Mundial IEEE sobre Internet das Coisas</v>
      </c>
    </row>
    <row r="752">
      <c r="A752" s="5"/>
      <c r="B752" s="2" t="str">
        <f>IFERROR(__xludf.DUMMYFUNCTION("""COMPUTED_VALUE"""),"IEEE World Conference on Factory Communication Systems")</f>
        <v>IEEE World Conference on Factory Communication Systems</v>
      </c>
      <c r="C752" s="2" t="str">
        <f>IFERROR(__xludf.DUMMYFUNCTION("""COMPUTED_VALUE"""),"Conferência Mundial IEEE sobre Sistemas de Comunicação de Fábrica")</f>
        <v>Conferência Mundial IEEE sobre Sistemas de Comunicação de Fábrica</v>
      </c>
    </row>
    <row r="753">
      <c r="A753" s="4" t="s">
        <v>372</v>
      </c>
      <c r="B753" s="2" t="str">
        <f>IFERROR(__xludf.DUMMYFUNCTION("""COMPUTED_VALUE"""),"Workshop do testbed FIBRE")</f>
        <v>Workshop do testbed FIBRE</v>
      </c>
      <c r="C753" s="2" t="str">
        <f>IFERROR(__xludf.DUMMYFUNCTION("""COMPUTED_VALUE"""),"FIBRE testbed Workshop")</f>
        <v>FIBRE testbed Workshop</v>
      </c>
    </row>
    <row r="754">
      <c r="A754" s="5"/>
      <c r="B754" s="2" t="str">
        <f>IFERROR(__xludf.DUMMYFUNCTION("""COMPUTED_VALUE"""),"International Workshop on Graph-Theoretic Concepts in Computer Science")</f>
        <v>International Workshop on Graph-Theoretic Concepts in Computer Science</v>
      </c>
      <c r="C754" s="2" t="str">
        <f>IFERROR(__xludf.DUMMYFUNCTION("""COMPUTED_VALUE"""),"Workshop Internacional sobre Conceitos de Teoria de Grafos em Ciência da Computação")</f>
        <v>Workshop Internacional sobre Conceitos de Teoria de Grafos em Ciência da Computação</v>
      </c>
    </row>
    <row r="755">
      <c r="A755" s="4" t="s">
        <v>373</v>
      </c>
      <c r="B755" s="2" t="str">
        <f>IFERROR(__xludf.DUMMYFUNCTION("""COMPUTED_VALUE"""),"Workshop de Gerência e Operação de Redes e Serviços")</f>
        <v>Workshop de Gerência e Operação de Redes e Serviços</v>
      </c>
      <c r="C755" s="2" t="str">
        <f>IFERROR(__xludf.DUMMYFUNCTION("""COMPUTED_VALUE"""),"Workshop on Management and Operation of Networks and Services")</f>
        <v>Workshop on Management and Operation of Networks and Services</v>
      </c>
    </row>
    <row r="756">
      <c r="A756" s="5"/>
      <c r="B756" s="2" t="str">
        <f>IFERROR(__xludf.DUMMYFUNCTION("""COMPUTED_VALUE"""),"IEEE/WIC/ACM International Conference on Web Intelligence and Intelligent Agent Technology")</f>
        <v>IEEE/WIC/ACM International Conference on Web Intelligence and Intelligent Agent Technology</v>
      </c>
      <c r="C756" s="2" t="str">
        <f>IFERROR(__xludf.DUMMYFUNCTION("""COMPUTED_VALUE"""),"Conferência Internacional IEEE/WIC/ACM sobre Inteligência Web e Tecnologia de Agentes Inteligentes")</f>
        <v>Conferência Internacional IEEE/WIC/ACM sobre Inteligência Web e Tecnologia de Agentes Inteligentes</v>
      </c>
    </row>
    <row r="757">
      <c r="A757" s="4" t="s">
        <v>374</v>
      </c>
      <c r="B757" s="2" t="str">
        <f>IFERROR(__xludf.DUMMYFUNCTION("""COMPUTED_VALUE"""),"Workshop sobre as Implicações da Computação na Sociedade")</f>
        <v>Workshop sobre as Implicações da Computação na Sociedade</v>
      </c>
      <c r="C757" s="2" t="str">
        <f>IFERROR(__xludf.DUMMYFUNCTION("""COMPUTED_VALUE"""),"Workshop on the Implications of Computing in Society")</f>
        <v>Workshop on the Implications of Computing in Society</v>
      </c>
    </row>
    <row r="758">
      <c r="A758" s="5"/>
      <c r="B758" s="2" t="str">
        <f>IFERROR(__xludf.DUMMYFUNCTION("""COMPUTED_VALUE"""),"Workshop de informação, dados e tecnologia")</f>
        <v>Workshop de informação, dados e tecnologia</v>
      </c>
      <c r="C758" s="2" t="str">
        <f>IFERROR(__xludf.DUMMYFUNCTION("""COMPUTED_VALUE"""),"Workshop on information, data and technology")</f>
        <v>Workshop on information, data and technology</v>
      </c>
    </row>
    <row r="759">
      <c r="A759" s="4" t="s">
        <v>375</v>
      </c>
      <c r="B759" s="2" t="str">
        <f>IFERROR(__xludf.DUMMYFUNCTION("""COMPUTED_VALUE"""),"Workshop on Interactions with Human Experiences")</f>
        <v>Workshop on Interactions with Human Experiences</v>
      </c>
      <c r="C759" s="2" t="str">
        <f>IFERROR(__xludf.DUMMYFUNCTION("""COMPUTED_VALUE"""),"Workshop sobre Interações com Experiências Humanas")</f>
        <v>Workshop sobre Interações com Experiências Humanas</v>
      </c>
    </row>
    <row r="760">
      <c r="A760" s="5"/>
      <c r="B760" s="2" t="str">
        <f>IFERROR(__xludf.DUMMYFUNCTION("""COMPUTED_VALUE"""),"Workshop de Informática na Escola")</f>
        <v>Workshop de Informática na Escola</v>
      </c>
      <c r="C760" s="2" t="str">
        <f>IFERROR(__xludf.DUMMYFUNCTION("""COMPUTED_VALUE"""),"Workshop on Informatics in Education")</f>
        <v>Workshop on Informatics in Education</v>
      </c>
    </row>
    <row r="761">
      <c r="A761" s="4" t="s">
        <v>376</v>
      </c>
      <c r="B761" s="2" t="str">
        <f>IFERROR(__xludf.DUMMYFUNCTION("""COMPUTED_VALUE"""),"IEEE Workshop on Information Forensics and Security")</f>
        <v>IEEE Workshop on Information Forensics and Security</v>
      </c>
      <c r="C761" s="2" t="str">
        <f>IFERROR(__xludf.DUMMYFUNCTION("""COMPUTED_VALUE"""),"Workshop IEEE sobre Forense e Segurança da Informação")</f>
        <v>Workshop IEEE sobre Forense e Segurança da Informação</v>
      </c>
    </row>
    <row r="762">
      <c r="A762" s="5"/>
      <c r="B762" s="2" t="str">
        <f>IFERROR(__xludf.DUMMYFUNCTION("""COMPUTED_VALUE"""),"IEEE International Conference on Wireless and Mobile Computing, Networking and Communications")</f>
        <v>IEEE International Conference on Wireless and Mobile Computing, Networking and Communications</v>
      </c>
      <c r="C762" s="2" t="str">
        <f>IFERROR(__xludf.DUMMYFUNCTION("""COMPUTED_VALUE"""),"Conferência Internacional IEEE sobre Computação, Redes e Comunicações Sem Fio e Móveis")</f>
        <v>Conferência Internacional IEEE sobre Computação, Redes e Comunicações Sem Fio e Móveis</v>
      </c>
    </row>
    <row r="763">
      <c r="A763" s="4" t="s">
        <v>377</v>
      </c>
      <c r="B763" s="2" t="str">
        <f>IFERROR(__xludf.DUMMYFUNCTION("""COMPUTED_VALUE"""),"Workshop sobre Interação e Pesquisa de Usuários no Desenvolvimento de Jogos")</f>
        <v>Workshop sobre Interação e Pesquisa de Usuários no Desenvolvimento de Jogos</v>
      </c>
      <c r="C763" s="2" t="str">
        <f>IFERROR(__xludf.DUMMYFUNCTION("""COMPUTED_VALUE"""),"Workshop on Interaction and User Research in Game Development")</f>
        <v>Workshop on Interaction and User Research in Game Development</v>
      </c>
    </row>
    <row r="764">
      <c r="A764" s="5"/>
      <c r="B764" s="2" t="str">
        <f>IFERROR(__xludf.DUMMYFUNCTION("""COMPUTED_VALUE"""),"International Conference on Web Information Systems Engineering")</f>
        <v>International Conference on Web Information Systems Engineering</v>
      </c>
      <c r="C764" s="2" t="str">
        <f>IFERROR(__xludf.DUMMYFUNCTION("""COMPUTED_VALUE"""),"Conferência Internacional sobre Engenharia de Sistemas de Informação Web")</f>
        <v>Conferência Internacional sobre Engenharia de Sistemas de Informação Web</v>
      </c>
    </row>
    <row r="765">
      <c r="A765" s="4" t="s">
        <v>378</v>
      </c>
      <c r="B765" s="2" t="str">
        <f>IFERROR(__xludf.DUMMYFUNCTION("""COMPUTED_VALUE"""),"Women in Information Technology")</f>
        <v>Women in Information Technology</v>
      </c>
      <c r="C765" s="2" t="str">
        <f>IFERROR(__xludf.DUMMYFUNCTION("""COMPUTED_VALUE"""),"Mulheres na Tecnologia da Informação")</f>
        <v>Mulheres na Tecnologia da Informação</v>
      </c>
    </row>
    <row r="766">
      <c r="A766" s="5"/>
      <c r="B766" s="2" t="str">
        <f>IFERROR(__xludf.DUMMYFUNCTION("""COMPUTED_VALUE"""),"Joint IFIP Wireless and Mobile Networking Conference")</f>
        <v>Joint IFIP Wireless and Mobile Networking Conference</v>
      </c>
      <c r="C766" s="2" t="str">
        <f>IFERROR(__xludf.DUMMYFUNCTION("""COMPUTED_VALUE"""),"Conferência Conjunta IFIP de Redes Sem Fio e Móveis")</f>
        <v>Conferência Conjunta IFIP de Redes Sem Fio e Móveis</v>
      </c>
    </row>
    <row r="767">
      <c r="A767" s="4" t="s">
        <v>379</v>
      </c>
      <c r="B767" s="2" t="str">
        <f>IFERROR(__xludf.DUMMYFUNCTION("""COMPUTED_VALUE"""),"Wireless and Optical Communications Conference")</f>
        <v>Wireless and Optical Communications Conference</v>
      </c>
      <c r="C767" s="2" t="str">
        <f>IFERROR(__xludf.DUMMYFUNCTION("""COMPUTED_VALUE"""),"Conferência de Comunicações Sem Fio e Ópticas")</f>
        <v>Conferência de Comunicações Sem Fio e Ópticas</v>
      </c>
    </row>
    <row r="768">
      <c r="A768" s="5"/>
      <c r="B768" s="2" t="str">
        <f>IFERROR(__xludf.DUMMYFUNCTION("""COMPUTED_VALUE"""),"International Workshop on Logic, Language, Information and Computation")</f>
        <v>International Workshop on Logic, Language, Information and Computation</v>
      </c>
      <c r="C768" s="2" t="str">
        <f>IFERROR(__xludf.DUMMYFUNCTION("""COMPUTED_VALUE"""),"Workshop Internacional sobre Lógica, Linguagem, Informação e Computação")</f>
        <v>Workshop Internacional sobre Lógica, Linguagem, Informação e Computação</v>
      </c>
    </row>
    <row r="769">
      <c r="A769" s="4" t="s">
        <v>380</v>
      </c>
      <c r="B769" s="2" t="str">
        <f>IFERROR(__xludf.DUMMYFUNCTION("""COMPUTED_VALUE"""),"Wireless On-demand Network systems and Services Conference")</f>
        <v>Wireless On-demand Network systems and Services Conference</v>
      </c>
      <c r="C769" s="2" t="str">
        <f>IFERROR(__xludf.DUMMYFUNCTION("""COMPUTED_VALUE"""),"Conferência sobre Sistemas e Serviços de Rede Wireless On-demand")</f>
        <v>Conferência sobre Sistemas e Serviços de Rede Wireless On-demand</v>
      </c>
    </row>
    <row r="770">
      <c r="A770" s="5"/>
      <c r="B770" s="2" t="str">
        <f>IFERROR(__xludf.DUMMYFUNCTION("""COMPUTED_VALUE"""),"Workshop on Workflows in Support of Large-Scale Science")</f>
        <v>Workshop on Workflows in Support of Large-Scale Science</v>
      </c>
      <c r="C770" s="2" t="str">
        <f>IFERROR(__xludf.DUMMYFUNCTION("""COMPUTED_VALUE"""),"Workshop sobre Fluxos de Trabalho em Apoio à Ciência em Larga Escala")</f>
        <v>Workshop sobre Fluxos de Trabalho em Apoio à Ciência em Larga Escala</v>
      </c>
    </row>
    <row r="771">
      <c r="A771" s="4" t="s">
        <v>381</v>
      </c>
      <c r="B771" s="2" t="str">
        <f>IFERROR(__xludf.DUMMYFUNCTION("""COMPUTED_VALUE"""),"World Conference on Information Systems and Technologies")</f>
        <v>World Conference on Information Systems and Technologies</v>
      </c>
      <c r="C771" s="2" t="str">
        <f>IFERROR(__xludf.DUMMYFUNCTION("""COMPUTED_VALUE"""),"Conferência Mundial sobre Sistemas e Tecnologias de Informação")</f>
        <v>Conferência Mundial sobre Sistemas e Tecnologias de Informação</v>
      </c>
    </row>
    <row r="772">
      <c r="A772" s="5"/>
      <c r="B772" s="2" t="str">
        <f>IFERROR(__xludf.DUMMYFUNCTION("""COMPUTED_VALUE"""),"World Conference on Smart Trends in Systems, Security and Sustainability")</f>
        <v>World Conference on Smart Trends in Systems, Security and Sustainability</v>
      </c>
      <c r="C772" s="2" t="str">
        <f>IFERROR(__xludf.DUMMYFUNCTION("""COMPUTED_VALUE"""),"Conferência Mundial sobre Tendências Inteligentes em Sistemas, Segurança e Sustentabilidade")</f>
        <v>Conferência Mundial sobre Tendências Inteligentes em Sistemas, Segurança e Sustentabilidade</v>
      </c>
    </row>
    <row r="773">
      <c r="A773" s="4" t="s">
        <v>382</v>
      </c>
      <c r="B773" s="2" t="str">
        <f>IFERROR(__xludf.DUMMYFUNCTION("""COMPUTED_VALUE"""),"International Workshop on Mining Scientific Publications")</f>
        <v>International Workshop on Mining Scientific Publications</v>
      </c>
      <c r="C773" s="2" t="str">
        <f>IFERROR(__xludf.DUMMYFUNCTION("""COMPUTED_VALUE"""),"Workshop Internacional sobre Mineração de Publicações Científicas")</f>
        <v>Workshop Internacional sobre Mineração de Publicações Científicas</v>
      </c>
    </row>
    <row r="774">
      <c r="A774" s="5"/>
      <c r="B774" s="2" t="str">
        <f>IFERROR(__xludf.DUMMYFUNCTION("""COMPUTED_VALUE"""),"Workshop de Pesquisa Experimental da Internet do Futuro")</f>
        <v>Workshop de Pesquisa Experimental da Internet do Futuro</v>
      </c>
      <c r="C774" s="2" t="str">
        <f>IFERROR(__xludf.DUMMYFUNCTION("""COMPUTED_VALUE"""),"Workshop on Experimental Research of the Future Internet")</f>
        <v>Workshop on Experimental Research of the Future Internet</v>
      </c>
    </row>
    <row r="775">
      <c r="A775" s="4" t="s">
        <v>383</v>
      </c>
      <c r="B775" s="2" t="str">
        <f>IFERROR(__xludf.DUMMYFUNCTION("""COMPUTED_VALUE"""),"Workshop em Desempenho de Sistemas Computacionais e de Comunicação")</f>
        <v>Workshop em Desempenho de Sistemas Computacionais e de Comunicação</v>
      </c>
      <c r="C775" s="2" t="str">
        <f>IFERROR(__xludf.DUMMYFUNCTION("""COMPUTED_VALUE"""),"Workshop on Performance of Computer and Communication Systems")</f>
        <v>Workshop on Performance of Computer and Communication Systems</v>
      </c>
    </row>
    <row r="776">
      <c r="A776" s="5"/>
      <c r="B776" s="2" t="str">
        <f>IFERROR(__xludf.DUMMYFUNCTION("""COMPUTED_VALUE"""),"Annual ACM workshop on Privacy in the electronic society")</f>
        <v>Annual ACM workshop on Privacy in the electronic society</v>
      </c>
      <c r="C776" s="2" t="str">
        <f>IFERROR(__xludf.DUMMYFUNCTION("""COMPUTED_VALUE"""),"Workshop Anual ACM sobre Privacidade na Sociedade Eletrônica")</f>
        <v>Workshop Anual ACM sobre Privacidade na Sociedade Eletrônica</v>
      </c>
    </row>
    <row r="777">
      <c r="A777" s="4" t="s">
        <v>384</v>
      </c>
      <c r="B777" s="2" t="str">
        <f>IFERROR(__xludf.DUMMYFUNCTION("""COMPUTED_VALUE"""),"Winter Simulation Conference")</f>
        <v>Winter Simulation Conference</v>
      </c>
      <c r="C777" s="2" t="str">
        <f>IFERROR(__xludf.DUMMYFUNCTION("""COMPUTED_VALUE"""),"Conferência de Simulação de Inverno")</f>
        <v>Conferência de Simulação de Inverno</v>
      </c>
    </row>
    <row r="778">
      <c r="A778" s="5"/>
      <c r="B778" s="2" t="str">
        <f>IFERROR(__xludf.DUMMYFUNCTION("""COMPUTED_VALUE"""),"Workshop de Testes e Tolerância a Falhas")</f>
        <v>Workshop de Testes e Tolerância a Falhas</v>
      </c>
      <c r="C778" s="2" t="str">
        <f>IFERROR(__xludf.DUMMYFUNCTION("""COMPUTED_VALUE"""),"Workshop on Testing and Fault Tolerance")</f>
        <v>Workshop on Testing and Fault Tolerance</v>
      </c>
    </row>
    <row r="779">
      <c r="A779" s="4" t="s">
        <v>385</v>
      </c>
      <c r="B779" s="2" t="str">
        <f>IFERROR(__xludf.DUMMYFUNCTION("""COMPUTED_VALUE"""),"The ACM Web Conference")</f>
        <v>The ACM Web Conference</v>
      </c>
      <c r="C779" s="2" t="str">
        <f>IFERROR(__xludf.DUMMYFUNCTION("""COMPUTED_VALUE"""),"A Conferência Web ACM")</f>
        <v>A Conferência Web ACM</v>
      </c>
    </row>
    <row r="780">
      <c r="A780" s="5"/>
      <c r="B780" s="2" t="str">
        <f>IFERROR(__xludf.DUMMYFUNCTION("""COMPUTED_VALUE"""),"International Conference on Agile Software Development")</f>
        <v>International Conference on Agile Software Development</v>
      </c>
      <c r="C780" s="2" t="str">
        <f>IFERROR(__xludf.DUMMYFUNCTION("""COMPUTED_VALUE"""),"Conferência Internacional sobre Desenvolvimento Ágil de Software")</f>
        <v>Conferência Internacional sobre Desenvolvimento Ágil de Software</v>
      </c>
    </row>
    <row r="781">
      <c r="A781" s="4" t="s">
        <v>386</v>
      </c>
    </row>
    <row r="782">
      <c r="A782" s="5"/>
    </row>
    <row r="783">
      <c r="A783" s="4" t="s">
        <v>387</v>
      </c>
    </row>
    <row r="784">
      <c r="A784" s="5"/>
    </row>
    <row r="785">
      <c r="A785" s="4" t="s">
        <v>388</v>
      </c>
    </row>
    <row r="786">
      <c r="A786" s="5"/>
    </row>
    <row r="787">
      <c r="A787" s="4" t="s">
        <v>389</v>
      </c>
    </row>
    <row r="788">
      <c r="A788" s="5"/>
    </row>
    <row r="789">
      <c r="A789" s="4" t="s">
        <v>390</v>
      </c>
    </row>
    <row r="790">
      <c r="A790" s="5"/>
    </row>
    <row r="791">
      <c r="A791" s="4" t="s">
        <v>391</v>
      </c>
    </row>
    <row r="792">
      <c r="A792" s="5"/>
    </row>
    <row r="793">
      <c r="A793" s="4" t="s">
        <v>392</v>
      </c>
    </row>
    <row r="794">
      <c r="A794" s="5"/>
    </row>
    <row r="795">
      <c r="A795" s="4" t="s">
        <v>393</v>
      </c>
    </row>
    <row r="796">
      <c r="A796" s="5"/>
    </row>
    <row r="797">
      <c r="A797" s="4" t="s">
        <v>394</v>
      </c>
    </row>
    <row r="798">
      <c r="A798" s="5"/>
    </row>
    <row r="799">
      <c r="A799" s="4" t="s">
        <v>395</v>
      </c>
    </row>
    <row r="800">
      <c r="A800" s="5"/>
    </row>
    <row r="801">
      <c r="A801" s="4" t="s">
        <v>396</v>
      </c>
    </row>
    <row r="802">
      <c r="A802" s="5"/>
    </row>
    <row r="803">
      <c r="A803" s="4" t="s">
        <v>397</v>
      </c>
    </row>
    <row r="804">
      <c r="A804" s="5"/>
    </row>
    <row r="805">
      <c r="A805" s="4" t="s">
        <v>398</v>
      </c>
    </row>
    <row r="806">
      <c r="A806" s="5"/>
    </row>
    <row r="807">
      <c r="A807" s="4" t="s">
        <v>399</v>
      </c>
    </row>
    <row r="808">
      <c r="A808" s="5"/>
    </row>
    <row r="809">
      <c r="A809" s="4" t="s">
        <v>400</v>
      </c>
    </row>
    <row r="810">
      <c r="A810" s="5"/>
    </row>
    <row r="811">
      <c r="A811" s="4" t="s">
        <v>401</v>
      </c>
    </row>
    <row r="812">
      <c r="A812" s="5"/>
    </row>
    <row r="813">
      <c r="A813" s="4" t="s">
        <v>402</v>
      </c>
    </row>
    <row r="814">
      <c r="A814" s="5"/>
    </row>
    <row r="815">
      <c r="A815" s="4" t="s">
        <v>403</v>
      </c>
    </row>
    <row r="816">
      <c r="A816" s="5"/>
    </row>
    <row r="817">
      <c r="A817" s="4" t="s">
        <v>404</v>
      </c>
    </row>
    <row r="818">
      <c r="A818" s="5"/>
    </row>
    <row r="819">
      <c r="A819" s="4" t="s">
        <v>405</v>
      </c>
    </row>
    <row r="820">
      <c r="A820" s="5"/>
    </row>
    <row r="821">
      <c r="A821" s="4" t="s">
        <v>406</v>
      </c>
    </row>
    <row r="822">
      <c r="A822" s="5"/>
    </row>
    <row r="823">
      <c r="A823" s="4" t="s">
        <v>407</v>
      </c>
    </row>
    <row r="824">
      <c r="A824" s="5"/>
    </row>
    <row r="825">
      <c r="A825" s="4" t="s">
        <v>408</v>
      </c>
    </row>
    <row r="826">
      <c r="A826" s="5"/>
    </row>
    <row r="827">
      <c r="A827" s="4" t="s">
        <v>409</v>
      </c>
    </row>
    <row r="828">
      <c r="A828" s="5"/>
    </row>
    <row r="829">
      <c r="A829" s="4" t="s">
        <v>410</v>
      </c>
    </row>
    <row r="830">
      <c r="A830" s="5"/>
    </row>
    <row r="831">
      <c r="A831" s="4" t="s">
        <v>411</v>
      </c>
    </row>
    <row r="832">
      <c r="A832" s="5"/>
    </row>
    <row r="833">
      <c r="A833" s="4" t="s">
        <v>412</v>
      </c>
    </row>
    <row r="834">
      <c r="A834" s="5"/>
    </row>
    <row r="835">
      <c r="A835" s="4" t="s">
        <v>413</v>
      </c>
    </row>
    <row r="836">
      <c r="A836" s="5"/>
    </row>
    <row r="837">
      <c r="A837" s="4" t="s">
        <v>414</v>
      </c>
    </row>
    <row r="838">
      <c r="A838" s="5"/>
    </row>
    <row r="839">
      <c r="A839" s="4" t="s">
        <v>415</v>
      </c>
    </row>
    <row r="840">
      <c r="A840" s="5"/>
    </row>
    <row r="841">
      <c r="A841" s="4" t="s">
        <v>416</v>
      </c>
    </row>
    <row r="842">
      <c r="A842" s="5"/>
    </row>
    <row r="843">
      <c r="A843" s="4" t="s">
        <v>417</v>
      </c>
    </row>
    <row r="844">
      <c r="A844" s="5"/>
    </row>
    <row r="845">
      <c r="A845" s="4" t="s">
        <v>418</v>
      </c>
    </row>
    <row r="846">
      <c r="A846" s="5"/>
    </row>
    <row r="847">
      <c r="A847" s="4" t="s">
        <v>419</v>
      </c>
    </row>
    <row r="848">
      <c r="A848" s="5"/>
    </row>
    <row r="849">
      <c r="A849" s="4" t="s">
        <v>420</v>
      </c>
    </row>
    <row r="850">
      <c r="A850" s="5"/>
    </row>
    <row r="851">
      <c r="A851" s="4" t="s">
        <v>421</v>
      </c>
    </row>
    <row r="852">
      <c r="A852" s="5"/>
    </row>
    <row r="853">
      <c r="A853" s="4" t="s">
        <v>422</v>
      </c>
    </row>
    <row r="854">
      <c r="A854" s="5"/>
    </row>
    <row r="855">
      <c r="A855" s="4" t="s">
        <v>423</v>
      </c>
    </row>
    <row r="856">
      <c r="A856" s="5"/>
    </row>
    <row r="857">
      <c r="A857" s="4" t="s">
        <v>424</v>
      </c>
    </row>
    <row r="858">
      <c r="A858" s="5"/>
    </row>
    <row r="859">
      <c r="A859" s="4" t="s">
        <v>425</v>
      </c>
    </row>
    <row r="860">
      <c r="A860" s="5"/>
    </row>
    <row r="861">
      <c r="A861" s="4" t="s">
        <v>426</v>
      </c>
    </row>
    <row r="862">
      <c r="A862" s="5"/>
    </row>
    <row r="863">
      <c r="A863" s="4" t="s">
        <v>427</v>
      </c>
    </row>
    <row r="864">
      <c r="A864" s="5"/>
    </row>
    <row r="865">
      <c r="A865" s="4" t="s">
        <v>428</v>
      </c>
    </row>
    <row r="866">
      <c r="A866" s="5"/>
    </row>
    <row r="867">
      <c r="A867" s="4" t="s">
        <v>429</v>
      </c>
    </row>
    <row r="868">
      <c r="A868" s="5"/>
    </row>
    <row r="869">
      <c r="A869" s="4" t="s">
        <v>430</v>
      </c>
    </row>
    <row r="870">
      <c r="A870" s="5"/>
    </row>
    <row r="871">
      <c r="A871" s="4" t="s">
        <v>431</v>
      </c>
    </row>
    <row r="872">
      <c r="A872" s="5"/>
    </row>
    <row r="873">
      <c r="A873" s="4" t="s">
        <v>432</v>
      </c>
    </row>
    <row r="874">
      <c r="A874" s="5"/>
    </row>
    <row r="875">
      <c r="A875" s="4" t="s">
        <v>433</v>
      </c>
    </row>
    <row r="876">
      <c r="A876" s="5"/>
    </row>
    <row r="877">
      <c r="A877" s="4" t="s">
        <v>434</v>
      </c>
    </row>
    <row r="878">
      <c r="A878" s="5"/>
    </row>
    <row r="879">
      <c r="A879" s="4" t="s">
        <v>435</v>
      </c>
    </row>
    <row r="880">
      <c r="A880" s="5"/>
    </row>
    <row r="881">
      <c r="A881" s="4" t="s">
        <v>436</v>
      </c>
    </row>
    <row r="882">
      <c r="A882" s="5"/>
    </row>
    <row r="883">
      <c r="A883" s="4" t="s">
        <v>437</v>
      </c>
    </row>
    <row r="884">
      <c r="A884" s="5"/>
    </row>
    <row r="885">
      <c r="A885" s="4" t="s">
        <v>438</v>
      </c>
    </row>
    <row r="886">
      <c r="A886" s="5"/>
    </row>
    <row r="887">
      <c r="A887" s="4" t="s">
        <v>439</v>
      </c>
    </row>
    <row r="888">
      <c r="A888" s="5"/>
    </row>
    <row r="889">
      <c r="A889" s="4" t="s">
        <v>440</v>
      </c>
    </row>
    <row r="890">
      <c r="A890" s="5"/>
    </row>
    <row r="891">
      <c r="A891" s="4" t="s">
        <v>441</v>
      </c>
    </row>
    <row r="892">
      <c r="A892" s="5"/>
    </row>
    <row r="893">
      <c r="A893" s="4" t="s">
        <v>442</v>
      </c>
    </row>
    <row r="894">
      <c r="A894" s="5"/>
    </row>
    <row r="895">
      <c r="A895" s="4" t="s">
        <v>443</v>
      </c>
    </row>
    <row r="896">
      <c r="A896" s="5"/>
    </row>
    <row r="897">
      <c r="A897" s="4" t="s">
        <v>444</v>
      </c>
    </row>
    <row r="898">
      <c r="A898" s="5"/>
    </row>
    <row r="899">
      <c r="A899" s="4" t="s">
        <v>445</v>
      </c>
    </row>
    <row r="900">
      <c r="A900" s="5"/>
    </row>
    <row r="901">
      <c r="A901" s="4" t="s">
        <v>446</v>
      </c>
    </row>
    <row r="902">
      <c r="A902" s="5"/>
    </row>
    <row r="903">
      <c r="A903" s="4" t="s">
        <v>447</v>
      </c>
    </row>
    <row r="904">
      <c r="A904" s="5"/>
    </row>
    <row r="905">
      <c r="A905" s="4" t="s">
        <v>448</v>
      </c>
    </row>
    <row r="906">
      <c r="A906" s="5"/>
    </row>
    <row r="907">
      <c r="A907" s="4" t="s">
        <v>449</v>
      </c>
    </row>
    <row r="908">
      <c r="A908" s="5"/>
    </row>
    <row r="909">
      <c r="A909" s="4" t="s">
        <v>450</v>
      </c>
    </row>
    <row r="910">
      <c r="A910" s="5"/>
    </row>
    <row r="911">
      <c r="A911" s="4" t="s">
        <v>451</v>
      </c>
    </row>
    <row r="912">
      <c r="A912" s="5"/>
    </row>
    <row r="913">
      <c r="A913" s="4" t="s">
        <v>452</v>
      </c>
    </row>
    <row r="914">
      <c r="A914" s="5"/>
    </row>
    <row r="915">
      <c r="A915" s="4" t="s">
        <v>453</v>
      </c>
    </row>
    <row r="916">
      <c r="A916" s="5"/>
    </row>
    <row r="917">
      <c r="A917" s="4" t="s">
        <v>454</v>
      </c>
    </row>
    <row r="918">
      <c r="A918" s="5"/>
    </row>
    <row r="919">
      <c r="A919" s="6" t="s">
        <v>455</v>
      </c>
    </row>
    <row r="920">
      <c r="A920" s="7"/>
    </row>
    <row r="921">
      <c r="A921" s="6" t="s">
        <v>456</v>
      </c>
    </row>
    <row r="922">
      <c r="A922" s="7"/>
    </row>
    <row r="923">
      <c r="A923" s="6" t="s">
        <v>457</v>
      </c>
    </row>
    <row r="924">
      <c r="A924" s="7"/>
    </row>
    <row r="925">
      <c r="A925" s="6" t="s">
        <v>458</v>
      </c>
    </row>
    <row r="926">
      <c r="A926" s="7"/>
    </row>
    <row r="927">
      <c r="A927" s="6" t="s">
        <v>459</v>
      </c>
    </row>
    <row r="928">
      <c r="A928" s="7"/>
    </row>
    <row r="929">
      <c r="A929" s="6" t="s">
        <v>460</v>
      </c>
    </row>
    <row r="930">
      <c r="A930" s="7"/>
    </row>
    <row r="931">
      <c r="A931" s="6" t="s">
        <v>461</v>
      </c>
    </row>
    <row r="932">
      <c r="A932" s="7"/>
    </row>
    <row r="933">
      <c r="A933" s="6" t="s">
        <v>462</v>
      </c>
    </row>
    <row r="934">
      <c r="A934" s="7"/>
    </row>
    <row r="935">
      <c r="A935" s="6" t="s">
        <v>463</v>
      </c>
    </row>
    <row r="936">
      <c r="A936" s="7"/>
    </row>
    <row r="937">
      <c r="A937" s="6" t="s">
        <v>464</v>
      </c>
    </row>
    <row r="938">
      <c r="A938" s="7"/>
    </row>
    <row r="939">
      <c r="A939" s="6" t="s">
        <v>465</v>
      </c>
    </row>
    <row r="940">
      <c r="A940" s="7"/>
    </row>
    <row r="941">
      <c r="A941" s="6" t="s">
        <v>466</v>
      </c>
    </row>
    <row r="942">
      <c r="A942" s="7"/>
    </row>
    <row r="943">
      <c r="A943" s="6" t="s">
        <v>467</v>
      </c>
    </row>
    <row r="944">
      <c r="A944" s="7"/>
    </row>
    <row r="945">
      <c r="A945" s="6" t="s">
        <v>468</v>
      </c>
    </row>
    <row r="946">
      <c r="A946" s="7"/>
    </row>
    <row r="947">
      <c r="A947" s="6" t="s">
        <v>469</v>
      </c>
    </row>
    <row r="948">
      <c r="A948" s="7"/>
    </row>
    <row r="949">
      <c r="A949" s="6" t="s">
        <v>470</v>
      </c>
    </row>
    <row r="950">
      <c r="A950" s="7"/>
    </row>
    <row r="951">
      <c r="A951" s="6" t="s">
        <v>471</v>
      </c>
    </row>
    <row r="952">
      <c r="A952" s="7"/>
    </row>
    <row r="953">
      <c r="A953" s="6" t="s">
        <v>472</v>
      </c>
    </row>
    <row r="954">
      <c r="A954" s="7"/>
    </row>
    <row r="955">
      <c r="A955" s="6" t="s">
        <v>473</v>
      </c>
    </row>
    <row r="956">
      <c r="A956" s="7"/>
    </row>
    <row r="957">
      <c r="A957" s="6" t="s">
        <v>474</v>
      </c>
    </row>
    <row r="958">
      <c r="A958" s="7"/>
    </row>
    <row r="959">
      <c r="A959" s="6" t="s">
        <v>475</v>
      </c>
    </row>
    <row r="960">
      <c r="A960" s="7"/>
    </row>
    <row r="961">
      <c r="A961" s="6" t="s">
        <v>476</v>
      </c>
    </row>
    <row r="962">
      <c r="A962" s="7"/>
    </row>
    <row r="963">
      <c r="A963" s="6" t="s">
        <v>477</v>
      </c>
    </row>
    <row r="964">
      <c r="A964" s="7"/>
    </row>
    <row r="965">
      <c r="A965" s="6" t="s">
        <v>478</v>
      </c>
    </row>
    <row r="966">
      <c r="A966" s="7"/>
    </row>
    <row r="967">
      <c r="A967" s="6" t="s">
        <v>479</v>
      </c>
    </row>
    <row r="968">
      <c r="A968" s="7"/>
    </row>
    <row r="969">
      <c r="A969" s="6" t="s">
        <v>480</v>
      </c>
    </row>
    <row r="970">
      <c r="A970" s="7"/>
    </row>
    <row r="971">
      <c r="A971" s="6" t="s">
        <v>481</v>
      </c>
    </row>
    <row r="972">
      <c r="A972" s="7"/>
    </row>
    <row r="973">
      <c r="A973" s="6" t="s">
        <v>482</v>
      </c>
    </row>
    <row r="974">
      <c r="A974" s="7"/>
    </row>
    <row r="975">
      <c r="A975" s="6" t="s">
        <v>483</v>
      </c>
    </row>
    <row r="976">
      <c r="A976" s="7"/>
    </row>
    <row r="977">
      <c r="A977" s="6" t="s">
        <v>484</v>
      </c>
    </row>
    <row r="978">
      <c r="A978" s="7"/>
    </row>
    <row r="979">
      <c r="A979" s="6" t="s">
        <v>485</v>
      </c>
    </row>
    <row r="980">
      <c r="A980" s="7"/>
    </row>
    <row r="981">
      <c r="A981" s="6" t="s">
        <v>486</v>
      </c>
    </row>
    <row r="982">
      <c r="A982" s="7"/>
    </row>
    <row r="983">
      <c r="A983" s="6" t="s">
        <v>487</v>
      </c>
    </row>
    <row r="984">
      <c r="A984" s="7"/>
    </row>
    <row r="985">
      <c r="A985" s="6" t="s">
        <v>488</v>
      </c>
    </row>
    <row r="986">
      <c r="A986" s="7"/>
    </row>
    <row r="987">
      <c r="A987" s="6" t="s">
        <v>489</v>
      </c>
    </row>
    <row r="988">
      <c r="A988" s="7"/>
    </row>
    <row r="989">
      <c r="A989" s="6" t="s">
        <v>490</v>
      </c>
    </row>
    <row r="990">
      <c r="A990" s="7"/>
    </row>
    <row r="991">
      <c r="A991" s="6" t="s">
        <v>491</v>
      </c>
    </row>
    <row r="992">
      <c r="A992" s="7"/>
    </row>
    <row r="993">
      <c r="A993" s="6" t="s">
        <v>492</v>
      </c>
    </row>
    <row r="994">
      <c r="A994" s="7"/>
    </row>
    <row r="995">
      <c r="A995" s="6" t="s">
        <v>493</v>
      </c>
    </row>
    <row r="996">
      <c r="A996" s="7"/>
    </row>
    <row r="997">
      <c r="A997" s="6" t="s">
        <v>494</v>
      </c>
    </row>
    <row r="998">
      <c r="A998" s="7"/>
    </row>
    <row r="999">
      <c r="A999" s="6" t="s">
        <v>495</v>
      </c>
    </row>
    <row r="1000">
      <c r="A1000" s="7"/>
    </row>
    <row r="1001">
      <c r="A1001" s="6" t="s">
        <v>496</v>
      </c>
    </row>
    <row r="1002">
      <c r="A1002" s="7"/>
    </row>
    <row r="1003">
      <c r="A1003" s="6" t="s">
        <v>497</v>
      </c>
    </row>
    <row r="1004">
      <c r="A1004" s="7"/>
    </row>
    <row r="1005">
      <c r="A1005" s="6" t="s">
        <v>498</v>
      </c>
    </row>
    <row r="1006">
      <c r="A1006" s="7"/>
    </row>
    <row r="1007">
      <c r="A1007" s="6" t="s">
        <v>499</v>
      </c>
    </row>
    <row r="1008">
      <c r="A1008" s="7"/>
    </row>
    <row r="1009">
      <c r="A1009" s="6" t="s">
        <v>500</v>
      </c>
    </row>
    <row r="1010">
      <c r="A1010" s="7"/>
    </row>
    <row r="1011">
      <c r="A1011" s="6" t="s">
        <v>501</v>
      </c>
    </row>
    <row r="1012">
      <c r="A1012" s="7"/>
    </row>
    <row r="1013">
      <c r="A1013" s="6" t="s">
        <v>502</v>
      </c>
    </row>
    <row r="1014">
      <c r="A1014" s="7"/>
    </row>
    <row r="1015">
      <c r="A1015" s="6" t="s">
        <v>503</v>
      </c>
    </row>
    <row r="1016">
      <c r="A1016" s="7"/>
    </row>
    <row r="1017">
      <c r="A1017" s="6" t="s">
        <v>504</v>
      </c>
    </row>
    <row r="1018">
      <c r="A1018" s="7"/>
    </row>
    <row r="1019">
      <c r="A1019" s="6" t="s">
        <v>505</v>
      </c>
    </row>
    <row r="1020">
      <c r="A1020" s="7"/>
    </row>
    <row r="1021">
      <c r="A1021" s="6" t="s">
        <v>506</v>
      </c>
    </row>
    <row r="1022">
      <c r="A1022" s="7"/>
    </row>
    <row r="1023">
      <c r="A1023" s="6" t="s">
        <v>507</v>
      </c>
    </row>
    <row r="1024">
      <c r="A1024" s="7"/>
    </row>
    <row r="1025">
      <c r="A1025" s="6" t="s">
        <v>508</v>
      </c>
    </row>
    <row r="1026">
      <c r="A1026" s="7"/>
    </row>
    <row r="1027">
      <c r="A1027" s="6" t="s">
        <v>509</v>
      </c>
    </row>
    <row r="1028">
      <c r="A1028" s="7"/>
    </row>
    <row r="1029">
      <c r="A1029" s="6" t="s">
        <v>510</v>
      </c>
    </row>
    <row r="1030">
      <c r="A1030" s="7"/>
    </row>
    <row r="1031">
      <c r="A1031" s="6" t="s">
        <v>511</v>
      </c>
    </row>
    <row r="1032">
      <c r="A1032" s="7"/>
    </row>
    <row r="1033">
      <c r="A1033" s="6" t="s">
        <v>512</v>
      </c>
    </row>
    <row r="1034">
      <c r="A1034" s="7"/>
    </row>
    <row r="1035">
      <c r="A1035" s="6" t="s">
        <v>513</v>
      </c>
    </row>
    <row r="1036">
      <c r="A1036" s="7"/>
    </row>
    <row r="1037">
      <c r="A1037" s="6" t="s">
        <v>514</v>
      </c>
    </row>
    <row r="1038">
      <c r="A1038" s="7"/>
    </row>
    <row r="1039">
      <c r="A1039" s="6" t="s">
        <v>515</v>
      </c>
    </row>
    <row r="1040">
      <c r="A1040" s="7"/>
    </row>
    <row r="1041">
      <c r="A1041" s="6" t="s">
        <v>516</v>
      </c>
    </row>
    <row r="1042">
      <c r="A1042" s="7"/>
    </row>
    <row r="1043">
      <c r="A1043" s="6" t="s">
        <v>517</v>
      </c>
    </row>
    <row r="1044">
      <c r="A1044" s="7"/>
    </row>
    <row r="1045">
      <c r="A1045" s="6" t="s">
        <v>518</v>
      </c>
    </row>
    <row r="1046">
      <c r="A1046" s="7"/>
    </row>
    <row r="1047">
      <c r="A1047" s="6" t="s">
        <v>519</v>
      </c>
    </row>
    <row r="1048">
      <c r="A1048" s="7"/>
    </row>
    <row r="1049">
      <c r="A1049" s="6" t="s">
        <v>520</v>
      </c>
    </row>
    <row r="1050">
      <c r="A1050" s="7"/>
    </row>
    <row r="1051">
      <c r="A1051" s="6" t="s">
        <v>521</v>
      </c>
    </row>
    <row r="1052">
      <c r="A1052" s="7"/>
    </row>
    <row r="1053">
      <c r="A1053" s="6" t="s">
        <v>522</v>
      </c>
    </row>
    <row r="1054">
      <c r="A1054" s="7"/>
    </row>
    <row r="1055">
      <c r="A1055" s="6" t="s">
        <v>523</v>
      </c>
    </row>
    <row r="1056">
      <c r="A1056" s="7"/>
    </row>
    <row r="1057">
      <c r="A1057" s="6" t="s">
        <v>524</v>
      </c>
    </row>
    <row r="1058">
      <c r="A1058" s="7"/>
    </row>
    <row r="1059">
      <c r="A1059" s="6" t="s">
        <v>525</v>
      </c>
    </row>
    <row r="1060">
      <c r="A1060" s="7"/>
    </row>
    <row r="1061">
      <c r="A1061" s="6" t="s">
        <v>526</v>
      </c>
    </row>
    <row r="1062">
      <c r="A1062" s="7"/>
    </row>
    <row r="1063">
      <c r="A1063" s="6" t="s">
        <v>527</v>
      </c>
    </row>
    <row r="1064">
      <c r="A1064" s="7"/>
    </row>
    <row r="1065">
      <c r="A1065" s="6" t="s">
        <v>528</v>
      </c>
    </row>
    <row r="1066">
      <c r="A1066" s="7"/>
    </row>
    <row r="1067">
      <c r="A1067" s="6" t="s">
        <v>529</v>
      </c>
    </row>
    <row r="1068">
      <c r="A1068" s="7"/>
    </row>
    <row r="1069">
      <c r="A1069" s="6" t="s">
        <v>530</v>
      </c>
    </row>
    <row r="1070">
      <c r="A1070" s="7"/>
    </row>
    <row r="1071">
      <c r="A1071" s="6" t="s">
        <v>531</v>
      </c>
    </row>
    <row r="1072">
      <c r="A1072" s="7"/>
    </row>
    <row r="1073">
      <c r="A1073" s="6" t="s">
        <v>532</v>
      </c>
    </row>
    <row r="1074">
      <c r="A1074" s="7"/>
    </row>
    <row r="1075">
      <c r="A1075" s="6" t="s">
        <v>533</v>
      </c>
    </row>
    <row r="1076">
      <c r="A1076" s="7"/>
    </row>
    <row r="1077">
      <c r="A1077" s="6" t="s">
        <v>534</v>
      </c>
    </row>
    <row r="1078">
      <c r="A1078" s="7"/>
    </row>
    <row r="1079">
      <c r="A1079" s="6" t="s">
        <v>535</v>
      </c>
    </row>
    <row r="1080">
      <c r="A1080" s="7"/>
    </row>
    <row r="1081">
      <c r="A1081" s="6" t="s">
        <v>536</v>
      </c>
    </row>
    <row r="1082">
      <c r="A1082" s="7"/>
    </row>
    <row r="1083">
      <c r="A1083" s="6" t="s">
        <v>537</v>
      </c>
    </row>
    <row r="1084">
      <c r="A1084" s="7"/>
    </row>
    <row r="1085">
      <c r="A1085" s="6" t="s">
        <v>538</v>
      </c>
    </row>
    <row r="1086">
      <c r="A1086" s="7"/>
    </row>
    <row r="1087">
      <c r="A1087" s="6" t="s">
        <v>539</v>
      </c>
    </row>
    <row r="1088">
      <c r="A1088" s="7"/>
    </row>
    <row r="1089">
      <c r="A1089" s="6" t="s">
        <v>540</v>
      </c>
    </row>
    <row r="1090">
      <c r="A1090" s="7"/>
    </row>
    <row r="1091">
      <c r="A1091" s="6" t="s">
        <v>541</v>
      </c>
    </row>
    <row r="1092">
      <c r="A1092" s="7"/>
    </row>
    <row r="1093">
      <c r="A1093" s="6" t="s">
        <v>542</v>
      </c>
    </row>
    <row r="1094">
      <c r="A1094" s="7"/>
    </row>
    <row r="1095">
      <c r="A1095" s="6" t="s">
        <v>543</v>
      </c>
    </row>
    <row r="1096">
      <c r="A1096" s="7"/>
    </row>
    <row r="1097">
      <c r="A1097" s="6" t="s">
        <v>544</v>
      </c>
    </row>
    <row r="1098">
      <c r="A1098" s="7"/>
    </row>
    <row r="1099">
      <c r="A1099" s="6" t="s">
        <v>545</v>
      </c>
    </row>
    <row r="1100">
      <c r="A1100" s="7"/>
    </row>
    <row r="1101">
      <c r="A1101" s="6" t="s">
        <v>546</v>
      </c>
    </row>
    <row r="1102">
      <c r="A1102" s="7"/>
    </row>
    <row r="1103">
      <c r="A1103" s="6" t="s">
        <v>547</v>
      </c>
    </row>
    <row r="1104">
      <c r="A1104" s="7"/>
    </row>
    <row r="1105">
      <c r="A1105" s="6" t="s">
        <v>548</v>
      </c>
    </row>
    <row r="1106">
      <c r="A1106" s="7"/>
    </row>
    <row r="1107">
      <c r="A1107" s="6" t="s">
        <v>549</v>
      </c>
    </row>
    <row r="1108">
      <c r="A1108" s="7"/>
    </row>
    <row r="1109">
      <c r="A1109" s="6" t="s">
        <v>550</v>
      </c>
    </row>
    <row r="1110">
      <c r="A1110" s="7"/>
    </row>
    <row r="1111">
      <c r="A1111" s="6" t="s">
        <v>551</v>
      </c>
    </row>
    <row r="1112">
      <c r="A1112" s="7"/>
    </row>
    <row r="1113">
      <c r="A1113" s="6" t="s">
        <v>552</v>
      </c>
    </row>
    <row r="1114">
      <c r="A1114" s="7"/>
    </row>
    <row r="1115">
      <c r="A1115" s="6" t="s">
        <v>553</v>
      </c>
    </row>
    <row r="1116">
      <c r="A1116" s="7"/>
    </row>
    <row r="1117">
      <c r="A1117" s="6" t="s">
        <v>554</v>
      </c>
    </row>
    <row r="1118">
      <c r="A1118" s="7"/>
    </row>
    <row r="1119">
      <c r="A1119" s="6" t="s">
        <v>555</v>
      </c>
    </row>
    <row r="1120">
      <c r="A1120" s="7"/>
    </row>
    <row r="1121">
      <c r="A1121" s="6" t="s">
        <v>556</v>
      </c>
    </row>
    <row r="1122">
      <c r="A1122" s="7"/>
    </row>
    <row r="1123">
      <c r="A1123" s="6" t="s">
        <v>557</v>
      </c>
    </row>
    <row r="1124">
      <c r="A1124" s="7"/>
    </row>
    <row r="1125">
      <c r="A1125" s="6" t="s">
        <v>558</v>
      </c>
    </row>
    <row r="1126">
      <c r="A1126" s="7"/>
    </row>
    <row r="1127">
      <c r="A1127" s="6" t="s">
        <v>559</v>
      </c>
    </row>
    <row r="1128">
      <c r="A1128" s="7"/>
    </row>
    <row r="1129">
      <c r="A1129" s="6" t="s">
        <v>560</v>
      </c>
    </row>
    <row r="1130">
      <c r="A1130" s="7"/>
    </row>
    <row r="1131">
      <c r="A1131" s="6" t="s">
        <v>561</v>
      </c>
    </row>
    <row r="1132">
      <c r="A1132" s="7"/>
    </row>
    <row r="1133">
      <c r="A1133" s="6" t="s">
        <v>562</v>
      </c>
    </row>
    <row r="1134">
      <c r="A1134" s="7"/>
    </row>
    <row r="1135">
      <c r="A1135" s="6" t="s">
        <v>563</v>
      </c>
    </row>
    <row r="1136">
      <c r="A1136" s="7"/>
    </row>
    <row r="1137">
      <c r="A1137" s="6" t="s">
        <v>564</v>
      </c>
    </row>
    <row r="1138">
      <c r="A1138" s="7"/>
    </row>
    <row r="1139">
      <c r="A1139" s="6" t="s">
        <v>565</v>
      </c>
    </row>
    <row r="1140">
      <c r="A1140" s="7"/>
    </row>
    <row r="1141">
      <c r="A1141" s="6" t="s">
        <v>566</v>
      </c>
    </row>
    <row r="1142">
      <c r="A1142" s="7"/>
    </row>
    <row r="1143">
      <c r="A1143" s="6" t="s">
        <v>567</v>
      </c>
    </row>
    <row r="1144">
      <c r="A1144" s="7"/>
    </row>
    <row r="1145">
      <c r="A1145" s="6" t="s">
        <v>568</v>
      </c>
    </row>
    <row r="1146">
      <c r="A1146" s="7"/>
    </row>
    <row r="1147">
      <c r="A1147" s="6" t="s">
        <v>569</v>
      </c>
    </row>
    <row r="1148">
      <c r="A1148" s="7"/>
    </row>
    <row r="1149">
      <c r="A1149" s="6" t="s">
        <v>570</v>
      </c>
    </row>
    <row r="1150">
      <c r="A1150" s="7"/>
    </row>
    <row r="1151">
      <c r="A1151" s="6" t="s">
        <v>571</v>
      </c>
    </row>
    <row r="1152">
      <c r="A1152" s="7"/>
    </row>
    <row r="1153">
      <c r="A1153" s="6" t="s">
        <v>572</v>
      </c>
    </row>
    <row r="1154">
      <c r="A1154" s="7"/>
    </row>
    <row r="1155">
      <c r="A1155" s="6" t="s">
        <v>573</v>
      </c>
    </row>
    <row r="1156">
      <c r="A1156" s="7"/>
    </row>
    <row r="1157">
      <c r="A1157" s="6" t="s">
        <v>574</v>
      </c>
    </row>
    <row r="1158">
      <c r="A1158" s="7"/>
    </row>
    <row r="1159">
      <c r="A1159" s="6" t="s">
        <v>575</v>
      </c>
    </row>
    <row r="1160">
      <c r="A1160" s="7"/>
    </row>
    <row r="1161">
      <c r="A1161" s="6" t="s">
        <v>576</v>
      </c>
    </row>
    <row r="1162">
      <c r="A1162" s="7"/>
    </row>
    <row r="1163">
      <c r="A1163" s="6" t="s">
        <v>577</v>
      </c>
    </row>
    <row r="1164">
      <c r="A1164" s="7"/>
    </row>
    <row r="1165">
      <c r="A1165" s="6" t="s">
        <v>578</v>
      </c>
    </row>
    <row r="1166">
      <c r="A1166" s="7"/>
    </row>
    <row r="1167">
      <c r="A1167" s="6" t="s">
        <v>579</v>
      </c>
    </row>
    <row r="1168">
      <c r="A1168" s="7"/>
    </row>
    <row r="1169">
      <c r="A1169" s="6" t="s">
        <v>580</v>
      </c>
    </row>
    <row r="1170">
      <c r="A1170" s="7"/>
    </row>
    <row r="1171">
      <c r="A1171" s="6" t="s">
        <v>581</v>
      </c>
    </row>
    <row r="1172">
      <c r="A1172" s="7"/>
    </row>
    <row r="1173">
      <c r="A1173" s="6" t="s">
        <v>582</v>
      </c>
    </row>
    <row r="1174">
      <c r="A1174" s="7"/>
    </row>
    <row r="1175">
      <c r="A1175" s="6" t="s">
        <v>583</v>
      </c>
    </row>
    <row r="1176">
      <c r="A1176" s="7"/>
    </row>
    <row r="1177">
      <c r="A1177" s="6" t="s">
        <v>584</v>
      </c>
    </row>
    <row r="1178">
      <c r="A1178" s="7"/>
    </row>
    <row r="1179">
      <c r="A1179" s="6" t="s">
        <v>585</v>
      </c>
    </row>
    <row r="1180">
      <c r="A1180" s="7"/>
    </row>
    <row r="1181">
      <c r="A1181" s="6" t="s">
        <v>586</v>
      </c>
    </row>
    <row r="1182">
      <c r="A1182" s="7"/>
    </row>
    <row r="1183">
      <c r="A1183" s="6" t="s">
        <v>587</v>
      </c>
    </row>
    <row r="1184">
      <c r="A1184" s="7"/>
    </row>
    <row r="1185">
      <c r="A1185" s="6" t="s">
        <v>588</v>
      </c>
    </row>
    <row r="1186">
      <c r="A1186" s="7"/>
    </row>
    <row r="1187">
      <c r="A1187" s="6" t="s">
        <v>589</v>
      </c>
    </row>
    <row r="1188">
      <c r="A1188" s="7"/>
    </row>
    <row r="1189">
      <c r="A1189" s="6" t="s">
        <v>590</v>
      </c>
    </row>
    <row r="1190">
      <c r="A1190" s="7"/>
    </row>
    <row r="1191">
      <c r="A1191" s="6" t="s">
        <v>591</v>
      </c>
    </row>
    <row r="1192">
      <c r="A1192" s="7"/>
    </row>
    <row r="1193">
      <c r="A1193" s="6" t="s">
        <v>592</v>
      </c>
    </row>
    <row r="1194">
      <c r="A1194" s="7"/>
    </row>
    <row r="1195">
      <c r="A1195" s="6" t="s">
        <v>593</v>
      </c>
    </row>
    <row r="1196">
      <c r="A1196" s="7"/>
    </row>
    <row r="1197">
      <c r="A1197" s="6" t="s">
        <v>594</v>
      </c>
    </row>
    <row r="1198">
      <c r="A1198" s="7"/>
    </row>
    <row r="1199">
      <c r="A1199" s="6" t="s">
        <v>595</v>
      </c>
    </row>
    <row r="1200">
      <c r="A1200" s="7"/>
    </row>
    <row r="1201">
      <c r="A1201" s="6" t="s">
        <v>596</v>
      </c>
    </row>
    <row r="1202">
      <c r="A1202" s="7"/>
    </row>
    <row r="1203">
      <c r="A1203" s="6" t="s">
        <v>597</v>
      </c>
    </row>
    <row r="1204">
      <c r="A1204" s="7"/>
    </row>
    <row r="1205">
      <c r="A1205" s="6" t="s">
        <v>598</v>
      </c>
    </row>
    <row r="1206">
      <c r="A1206" s="7"/>
    </row>
    <row r="1207">
      <c r="A1207" s="6" t="s">
        <v>599</v>
      </c>
    </row>
    <row r="1208">
      <c r="A1208" s="7"/>
    </row>
    <row r="1209">
      <c r="A1209" s="6" t="s">
        <v>600</v>
      </c>
    </row>
    <row r="1210">
      <c r="A1210" s="7"/>
    </row>
    <row r="1211">
      <c r="A1211" s="6" t="s">
        <v>601</v>
      </c>
    </row>
    <row r="1212">
      <c r="A1212" s="7"/>
    </row>
    <row r="1213">
      <c r="A1213" s="6" t="s">
        <v>602</v>
      </c>
    </row>
    <row r="1214">
      <c r="A1214" s="7"/>
    </row>
    <row r="1215">
      <c r="A1215" s="6" t="s">
        <v>603</v>
      </c>
    </row>
    <row r="1216">
      <c r="A1216" s="7"/>
    </row>
    <row r="1217">
      <c r="A1217" s="6" t="s">
        <v>604</v>
      </c>
    </row>
    <row r="1218">
      <c r="A1218" s="7"/>
    </row>
    <row r="1219">
      <c r="A1219" s="6" t="s">
        <v>605</v>
      </c>
    </row>
    <row r="1220">
      <c r="A1220" s="7"/>
    </row>
    <row r="1221">
      <c r="A1221" s="6" t="s">
        <v>606</v>
      </c>
    </row>
    <row r="1222">
      <c r="A1222" s="7"/>
    </row>
    <row r="1223">
      <c r="A1223" s="6" t="s">
        <v>607</v>
      </c>
    </row>
    <row r="1224">
      <c r="A1224" s="7"/>
    </row>
    <row r="1225">
      <c r="A1225" s="6" t="s">
        <v>608</v>
      </c>
    </row>
    <row r="1226">
      <c r="A1226" s="7"/>
    </row>
    <row r="1227">
      <c r="A1227" s="6" t="s">
        <v>609</v>
      </c>
    </row>
    <row r="1228">
      <c r="A1228" s="7"/>
    </row>
    <row r="1229">
      <c r="A1229" s="6" t="s">
        <v>610</v>
      </c>
    </row>
    <row r="1230">
      <c r="A1230" s="7"/>
    </row>
    <row r="1231">
      <c r="A1231" s="6" t="s">
        <v>611</v>
      </c>
    </row>
    <row r="1232">
      <c r="A1232" s="7"/>
    </row>
    <row r="1233">
      <c r="A1233" s="6" t="s">
        <v>612</v>
      </c>
    </row>
    <row r="1234">
      <c r="A1234" s="7"/>
    </row>
    <row r="1235">
      <c r="A1235" s="6" t="s">
        <v>613</v>
      </c>
    </row>
    <row r="1236">
      <c r="A1236" s="7"/>
    </row>
    <row r="1237">
      <c r="A1237" s="6" t="s">
        <v>614</v>
      </c>
    </row>
    <row r="1238">
      <c r="A1238" s="7"/>
    </row>
    <row r="1239">
      <c r="A1239" s="6" t="s">
        <v>615</v>
      </c>
    </row>
    <row r="1240">
      <c r="A1240" s="7"/>
    </row>
    <row r="1241">
      <c r="A1241" s="6" t="s">
        <v>616</v>
      </c>
    </row>
    <row r="1242">
      <c r="A1242" s="7"/>
    </row>
    <row r="1243">
      <c r="A1243" s="6" t="s">
        <v>617</v>
      </c>
    </row>
    <row r="1244">
      <c r="A1244" s="7"/>
    </row>
    <row r="1245">
      <c r="A1245" s="6" t="s">
        <v>618</v>
      </c>
    </row>
    <row r="1246">
      <c r="A1246" s="7"/>
    </row>
    <row r="1247">
      <c r="A1247" s="6" t="s">
        <v>619</v>
      </c>
    </row>
    <row r="1248">
      <c r="A1248" s="7"/>
    </row>
    <row r="1249">
      <c r="A1249" s="6" t="s">
        <v>620</v>
      </c>
    </row>
    <row r="1250">
      <c r="A1250" s="7"/>
    </row>
    <row r="1251">
      <c r="A1251" s="6" t="s">
        <v>621</v>
      </c>
    </row>
    <row r="1252">
      <c r="A1252" s="7"/>
    </row>
    <row r="1253">
      <c r="A1253" s="6" t="s">
        <v>622</v>
      </c>
    </row>
    <row r="1254">
      <c r="A1254" s="7"/>
    </row>
    <row r="1255">
      <c r="A1255" s="6" t="s">
        <v>623</v>
      </c>
    </row>
    <row r="1256">
      <c r="A1256" s="7"/>
    </row>
    <row r="1257">
      <c r="A1257" s="6" t="s">
        <v>624</v>
      </c>
    </row>
    <row r="1258">
      <c r="A1258" s="7"/>
    </row>
    <row r="1259">
      <c r="A1259" s="6" t="s">
        <v>625</v>
      </c>
    </row>
    <row r="1260">
      <c r="A1260" s="7"/>
    </row>
    <row r="1261">
      <c r="A1261" s="6" t="s">
        <v>626</v>
      </c>
    </row>
    <row r="1262">
      <c r="A1262" s="7"/>
    </row>
    <row r="1263">
      <c r="A1263" s="6" t="s">
        <v>627</v>
      </c>
    </row>
    <row r="1264">
      <c r="A1264" s="7"/>
    </row>
    <row r="1265">
      <c r="A1265" s="6" t="s">
        <v>628</v>
      </c>
    </row>
    <row r="1266">
      <c r="A1266" s="7"/>
    </row>
    <row r="1267">
      <c r="A1267" s="6" t="s">
        <v>629</v>
      </c>
    </row>
    <row r="1268">
      <c r="A1268" s="7"/>
    </row>
    <row r="1269">
      <c r="A1269" s="6" t="s">
        <v>630</v>
      </c>
    </row>
    <row r="1270">
      <c r="A1270" s="7"/>
    </row>
    <row r="1271">
      <c r="A1271" s="6" t="s">
        <v>631</v>
      </c>
    </row>
    <row r="1272">
      <c r="A1272" s="7"/>
    </row>
    <row r="1273">
      <c r="A1273" s="6" t="s">
        <v>632</v>
      </c>
    </row>
    <row r="1274">
      <c r="A1274" s="7"/>
    </row>
    <row r="1275">
      <c r="A1275" s="6" t="s">
        <v>633</v>
      </c>
    </row>
    <row r="1276">
      <c r="A1276" s="7"/>
    </row>
    <row r="1277">
      <c r="A1277" s="6" t="s">
        <v>634</v>
      </c>
    </row>
    <row r="1278">
      <c r="A1278" s="7"/>
    </row>
    <row r="1279">
      <c r="A1279" s="6" t="s">
        <v>635</v>
      </c>
    </row>
    <row r="1280">
      <c r="A1280" s="7"/>
    </row>
    <row r="1281">
      <c r="A1281" s="6" t="s">
        <v>636</v>
      </c>
    </row>
    <row r="1282">
      <c r="A1282" s="7"/>
    </row>
    <row r="1283">
      <c r="A1283" s="6" t="s">
        <v>637</v>
      </c>
    </row>
    <row r="1284">
      <c r="A1284" s="7"/>
    </row>
    <row r="1285">
      <c r="A1285" s="6" t="s">
        <v>638</v>
      </c>
    </row>
    <row r="1286">
      <c r="A1286" s="7"/>
    </row>
    <row r="1287">
      <c r="A1287" s="6" t="s">
        <v>639</v>
      </c>
    </row>
    <row r="1288">
      <c r="A1288" s="7"/>
    </row>
    <row r="1289">
      <c r="A1289" s="6" t="s">
        <v>640</v>
      </c>
    </row>
    <row r="1290">
      <c r="A1290" s="7"/>
    </row>
    <row r="1291">
      <c r="A1291" s="6" t="s">
        <v>641</v>
      </c>
    </row>
    <row r="1292">
      <c r="A1292" s="7"/>
    </row>
    <row r="1293">
      <c r="A1293" s="6" t="s">
        <v>642</v>
      </c>
    </row>
    <row r="1294">
      <c r="A1294" s="7"/>
    </row>
    <row r="1295">
      <c r="A1295" s="6" t="s">
        <v>643</v>
      </c>
    </row>
    <row r="1296">
      <c r="A1296" s="7"/>
    </row>
    <row r="1297">
      <c r="A1297" s="6" t="s">
        <v>644</v>
      </c>
    </row>
    <row r="1298">
      <c r="A1298" s="7"/>
    </row>
    <row r="1299">
      <c r="A1299" s="6" t="s">
        <v>645</v>
      </c>
    </row>
    <row r="1300">
      <c r="A1300" s="7"/>
    </row>
    <row r="1301">
      <c r="A1301" s="6" t="s">
        <v>646</v>
      </c>
    </row>
    <row r="1302">
      <c r="A1302" s="7"/>
    </row>
    <row r="1303">
      <c r="A1303" s="6" t="s">
        <v>647</v>
      </c>
    </row>
    <row r="1304">
      <c r="A1304" s="7"/>
    </row>
    <row r="1305">
      <c r="A1305" s="6" t="s">
        <v>648</v>
      </c>
    </row>
    <row r="1306">
      <c r="A1306" s="7"/>
    </row>
    <row r="1307">
      <c r="A1307" s="6" t="s">
        <v>649</v>
      </c>
    </row>
    <row r="1308">
      <c r="A1308" s="7"/>
    </row>
    <row r="1309">
      <c r="A1309" s="6" t="s">
        <v>650</v>
      </c>
    </row>
    <row r="1310">
      <c r="A1310" s="7"/>
    </row>
    <row r="1311">
      <c r="A1311" s="6" t="s">
        <v>651</v>
      </c>
    </row>
    <row r="1312">
      <c r="A1312" s="7"/>
    </row>
    <row r="1313">
      <c r="A1313" s="6" t="s">
        <v>652</v>
      </c>
    </row>
    <row r="1314">
      <c r="A1314" s="7"/>
    </row>
    <row r="1315">
      <c r="A1315" s="6" t="s">
        <v>653</v>
      </c>
    </row>
    <row r="1316">
      <c r="A1316" s="7"/>
    </row>
    <row r="1317">
      <c r="A1317" s="6" t="s">
        <v>654</v>
      </c>
    </row>
    <row r="1318">
      <c r="A1318" s="7"/>
    </row>
    <row r="1319">
      <c r="A1319" s="6" t="s">
        <v>655</v>
      </c>
    </row>
    <row r="1320">
      <c r="A1320" s="7"/>
    </row>
    <row r="1321">
      <c r="A1321" s="6" t="s">
        <v>656</v>
      </c>
    </row>
    <row r="1322">
      <c r="A1322" s="7"/>
    </row>
    <row r="1323">
      <c r="A1323" s="6" t="s">
        <v>657</v>
      </c>
    </row>
    <row r="1324">
      <c r="A1324" s="7"/>
    </row>
    <row r="1325">
      <c r="A1325" s="6" t="s">
        <v>658</v>
      </c>
    </row>
    <row r="1326">
      <c r="A1326" s="7"/>
    </row>
    <row r="1327">
      <c r="A1327" s="6" t="s">
        <v>659</v>
      </c>
    </row>
    <row r="1328">
      <c r="A1328" s="7"/>
    </row>
    <row r="1329">
      <c r="A1329" s="6" t="s">
        <v>660</v>
      </c>
    </row>
    <row r="1330">
      <c r="A1330" s="7"/>
    </row>
    <row r="1331">
      <c r="A1331" s="6" t="s">
        <v>661</v>
      </c>
    </row>
    <row r="1332">
      <c r="A1332" s="7"/>
    </row>
    <row r="1333">
      <c r="A1333" s="6" t="s">
        <v>662</v>
      </c>
    </row>
    <row r="1334">
      <c r="A1334" s="7"/>
    </row>
    <row r="1335">
      <c r="A1335" s="6" t="s">
        <v>663</v>
      </c>
    </row>
    <row r="1336">
      <c r="A1336" s="7"/>
    </row>
    <row r="1337">
      <c r="A1337" s="6" t="s">
        <v>664</v>
      </c>
    </row>
    <row r="1338">
      <c r="A1338" s="7"/>
    </row>
    <row r="1339">
      <c r="A1339" s="6" t="s">
        <v>665</v>
      </c>
    </row>
    <row r="1340">
      <c r="A1340" s="7"/>
    </row>
    <row r="1341">
      <c r="A1341" s="6" t="s">
        <v>666</v>
      </c>
    </row>
    <row r="1342">
      <c r="A1342" s="7"/>
    </row>
    <row r="1343">
      <c r="A1343" s="6" t="s">
        <v>667</v>
      </c>
    </row>
    <row r="1344">
      <c r="A1344" s="7"/>
    </row>
    <row r="1345">
      <c r="A1345" s="6" t="s">
        <v>668</v>
      </c>
    </row>
    <row r="1346">
      <c r="A1346" s="7"/>
    </row>
    <row r="1347">
      <c r="A1347" s="6" t="s">
        <v>669</v>
      </c>
    </row>
    <row r="1348">
      <c r="A1348" s="7"/>
    </row>
    <row r="1349">
      <c r="A1349" s="6" t="s">
        <v>670</v>
      </c>
    </row>
    <row r="1350">
      <c r="A1350" s="7"/>
    </row>
    <row r="1351">
      <c r="A1351" s="6" t="s">
        <v>671</v>
      </c>
    </row>
    <row r="1352">
      <c r="A1352" s="7"/>
    </row>
    <row r="1353">
      <c r="A1353" s="6" t="s">
        <v>672</v>
      </c>
    </row>
    <row r="1354">
      <c r="A1354" s="7"/>
    </row>
    <row r="1355">
      <c r="A1355" s="6" t="s">
        <v>673</v>
      </c>
    </row>
    <row r="1356">
      <c r="A1356" s="7"/>
    </row>
    <row r="1357">
      <c r="A1357" s="6" t="s">
        <v>674</v>
      </c>
    </row>
    <row r="1358">
      <c r="A1358" s="7"/>
    </row>
    <row r="1359">
      <c r="A1359" s="6" t="s">
        <v>675</v>
      </c>
    </row>
    <row r="1360">
      <c r="A1360" s="7"/>
    </row>
    <row r="1361">
      <c r="A1361" s="6" t="s">
        <v>676</v>
      </c>
    </row>
    <row r="1362">
      <c r="A1362" s="7"/>
    </row>
    <row r="1363">
      <c r="A1363" s="6" t="s">
        <v>677</v>
      </c>
    </row>
    <row r="1364">
      <c r="A1364" s="7"/>
    </row>
    <row r="1365">
      <c r="A1365" s="6" t="s">
        <v>678</v>
      </c>
    </row>
    <row r="1366">
      <c r="A1366" s="7"/>
    </row>
    <row r="1367">
      <c r="A1367" s="6" t="s">
        <v>679</v>
      </c>
    </row>
    <row r="1368">
      <c r="A1368" s="7"/>
    </row>
    <row r="1369">
      <c r="A1369" s="6" t="s">
        <v>680</v>
      </c>
    </row>
    <row r="1370">
      <c r="A1370" s="7"/>
    </row>
    <row r="1371">
      <c r="A1371" s="6" t="s">
        <v>681</v>
      </c>
    </row>
    <row r="1372">
      <c r="A1372" s="7"/>
    </row>
    <row r="1373">
      <c r="A1373" s="6" t="s">
        <v>682</v>
      </c>
    </row>
    <row r="1374">
      <c r="A1374" s="7"/>
    </row>
    <row r="1375">
      <c r="A1375" s="6" t="s">
        <v>683</v>
      </c>
    </row>
    <row r="1376">
      <c r="A1376" s="7"/>
    </row>
    <row r="1377">
      <c r="A1377" s="6" t="s">
        <v>684</v>
      </c>
    </row>
    <row r="1378">
      <c r="A1378" s="7"/>
    </row>
    <row r="1379">
      <c r="A1379" s="6" t="s">
        <v>685</v>
      </c>
    </row>
    <row r="1380">
      <c r="A1380" s="7"/>
    </row>
    <row r="1381">
      <c r="A1381" s="6" t="s">
        <v>686</v>
      </c>
    </row>
    <row r="1382">
      <c r="A1382" s="7"/>
    </row>
    <row r="1383">
      <c r="A1383" s="6" t="s">
        <v>687</v>
      </c>
    </row>
    <row r="1384">
      <c r="A1384" s="7"/>
    </row>
    <row r="1385">
      <c r="A1385" s="6" t="s">
        <v>688</v>
      </c>
    </row>
    <row r="1386">
      <c r="A1386" s="7"/>
    </row>
    <row r="1387">
      <c r="A1387" s="6" t="s">
        <v>689</v>
      </c>
    </row>
    <row r="1388">
      <c r="A1388" s="7"/>
    </row>
    <row r="1389">
      <c r="A1389" s="6" t="s">
        <v>690</v>
      </c>
    </row>
    <row r="1390">
      <c r="A1390" s="7"/>
    </row>
    <row r="1391">
      <c r="A1391" s="6" t="s">
        <v>691</v>
      </c>
    </row>
    <row r="1392">
      <c r="A1392" s="7"/>
    </row>
    <row r="1393">
      <c r="A1393" s="6" t="s">
        <v>692</v>
      </c>
    </row>
    <row r="1394">
      <c r="A1394" s="7"/>
    </row>
    <row r="1395">
      <c r="A1395" s="6" t="s">
        <v>693</v>
      </c>
    </row>
    <row r="1396">
      <c r="A1396" s="7"/>
    </row>
    <row r="1397">
      <c r="A1397" s="6" t="s">
        <v>694</v>
      </c>
    </row>
    <row r="1398">
      <c r="A1398" s="7"/>
    </row>
    <row r="1399">
      <c r="A1399" s="6" t="s">
        <v>695</v>
      </c>
    </row>
    <row r="1400">
      <c r="A1400" s="7"/>
    </row>
    <row r="1401">
      <c r="A1401" s="6" t="s">
        <v>696</v>
      </c>
    </row>
    <row r="1402">
      <c r="A1402" s="7"/>
    </row>
    <row r="1403">
      <c r="A1403" s="6" t="s">
        <v>697</v>
      </c>
    </row>
    <row r="1404">
      <c r="A1404" s="7"/>
    </row>
    <row r="1405">
      <c r="A1405" s="6" t="s">
        <v>698</v>
      </c>
    </row>
    <row r="1406">
      <c r="A1406" s="7"/>
    </row>
    <row r="1407">
      <c r="A1407" s="6" t="s">
        <v>699</v>
      </c>
    </row>
    <row r="1408">
      <c r="A1408" s="7"/>
    </row>
    <row r="1409">
      <c r="A1409" s="6" t="s">
        <v>700</v>
      </c>
    </row>
    <row r="1410">
      <c r="A1410" s="7"/>
    </row>
    <row r="1411">
      <c r="A1411" s="6" t="s">
        <v>701</v>
      </c>
    </row>
    <row r="1412">
      <c r="A1412" s="7"/>
    </row>
    <row r="1413">
      <c r="A1413" s="6" t="s">
        <v>702</v>
      </c>
    </row>
    <row r="1414">
      <c r="A1414" s="7"/>
    </row>
    <row r="1415">
      <c r="A1415" s="6" t="s">
        <v>703</v>
      </c>
    </row>
    <row r="1416">
      <c r="A1416" s="7"/>
    </row>
    <row r="1417">
      <c r="A1417" s="6" t="s">
        <v>704</v>
      </c>
    </row>
    <row r="1418">
      <c r="A1418" s="7"/>
    </row>
    <row r="1419">
      <c r="A1419" s="6" t="s">
        <v>705</v>
      </c>
    </row>
    <row r="1420">
      <c r="A1420" s="7"/>
    </row>
    <row r="1421">
      <c r="A1421" s="6" t="s">
        <v>706</v>
      </c>
    </row>
    <row r="1422">
      <c r="A1422" s="7"/>
    </row>
    <row r="1423">
      <c r="A1423" s="6" t="s">
        <v>707</v>
      </c>
    </row>
    <row r="1424">
      <c r="A1424" s="7"/>
    </row>
    <row r="1425">
      <c r="A1425" s="6" t="s">
        <v>708</v>
      </c>
    </row>
    <row r="1426">
      <c r="A1426" s="7"/>
    </row>
    <row r="1427">
      <c r="A1427" s="6" t="s">
        <v>709</v>
      </c>
    </row>
    <row r="1428">
      <c r="A1428" s="7"/>
    </row>
    <row r="1429">
      <c r="A1429" s="6" t="s">
        <v>710</v>
      </c>
    </row>
    <row r="1430">
      <c r="A1430" s="7"/>
    </row>
    <row r="1431">
      <c r="A1431" s="6" t="s">
        <v>711</v>
      </c>
    </row>
    <row r="1432">
      <c r="A1432" s="7"/>
    </row>
    <row r="1433">
      <c r="A1433" s="6" t="s">
        <v>712</v>
      </c>
    </row>
    <row r="1434">
      <c r="A1434" s="7"/>
    </row>
    <row r="1435">
      <c r="A1435" s="6" t="s">
        <v>713</v>
      </c>
    </row>
    <row r="1436">
      <c r="A1436" s="7"/>
    </row>
    <row r="1437">
      <c r="A1437" s="6" t="s">
        <v>714</v>
      </c>
    </row>
    <row r="1438">
      <c r="A1438" s="7"/>
    </row>
    <row r="1439">
      <c r="A1439" s="6" t="s">
        <v>715</v>
      </c>
    </row>
    <row r="1440">
      <c r="A1440" s="7"/>
    </row>
    <row r="1441">
      <c r="A1441" s="6" t="s">
        <v>716</v>
      </c>
    </row>
    <row r="1442">
      <c r="A1442" s="7"/>
    </row>
    <row r="1443">
      <c r="A1443" s="6" t="s">
        <v>717</v>
      </c>
    </row>
    <row r="1444">
      <c r="A1444" s="7"/>
    </row>
    <row r="1445">
      <c r="A1445" s="6" t="s">
        <v>718</v>
      </c>
    </row>
    <row r="1446">
      <c r="A1446" s="7"/>
    </row>
    <row r="1447">
      <c r="A1447" s="6" t="s">
        <v>719</v>
      </c>
    </row>
    <row r="1448">
      <c r="A1448" s="7"/>
    </row>
    <row r="1449">
      <c r="A1449" s="6" t="s">
        <v>720</v>
      </c>
    </row>
    <row r="1450">
      <c r="A1450" s="7"/>
    </row>
    <row r="1451">
      <c r="A1451" s="6" t="s">
        <v>721</v>
      </c>
    </row>
    <row r="1452">
      <c r="A1452" s="7"/>
    </row>
    <row r="1453">
      <c r="A1453" s="6" t="s">
        <v>722</v>
      </c>
    </row>
    <row r="1454">
      <c r="A1454" s="7"/>
    </row>
    <row r="1455">
      <c r="A1455" s="6" t="s">
        <v>723</v>
      </c>
    </row>
    <row r="1456">
      <c r="A1456" s="7"/>
    </row>
    <row r="1457">
      <c r="A1457" s="6" t="s">
        <v>724</v>
      </c>
    </row>
    <row r="1458">
      <c r="A1458" s="7"/>
    </row>
    <row r="1459">
      <c r="A1459" s="6" t="s">
        <v>725</v>
      </c>
    </row>
    <row r="1460">
      <c r="A1460" s="7"/>
    </row>
    <row r="1461">
      <c r="A1461" s="6" t="s">
        <v>726</v>
      </c>
    </row>
    <row r="1462">
      <c r="A1462" s="7"/>
    </row>
    <row r="1463">
      <c r="A1463" s="6" t="s">
        <v>727</v>
      </c>
    </row>
    <row r="1464">
      <c r="A1464" s="7"/>
    </row>
    <row r="1465">
      <c r="A1465" s="6" t="s">
        <v>728</v>
      </c>
    </row>
    <row r="1466">
      <c r="A1466" s="7"/>
    </row>
    <row r="1467">
      <c r="A1467" s="6" t="s">
        <v>729</v>
      </c>
    </row>
    <row r="1468">
      <c r="A1468" s="7"/>
    </row>
    <row r="1469">
      <c r="A1469" s="6" t="s">
        <v>730</v>
      </c>
    </row>
    <row r="1470">
      <c r="A1470" s="7"/>
    </row>
    <row r="1471">
      <c r="A1471" s="6" t="s">
        <v>731</v>
      </c>
    </row>
    <row r="1472">
      <c r="A1472" s="7"/>
    </row>
    <row r="1473">
      <c r="A1473" s="6" t="s">
        <v>732</v>
      </c>
    </row>
    <row r="1474">
      <c r="A1474" s="7"/>
    </row>
    <row r="1475">
      <c r="A1475" s="6" t="s">
        <v>733</v>
      </c>
    </row>
    <row r="1476">
      <c r="A1476" s="7"/>
    </row>
    <row r="1477">
      <c r="A1477" s="6" t="s">
        <v>734</v>
      </c>
    </row>
    <row r="1478">
      <c r="A1478" s="7"/>
    </row>
    <row r="1479">
      <c r="A1479" s="6" t="s">
        <v>735</v>
      </c>
    </row>
    <row r="1480">
      <c r="A1480" s="7"/>
    </row>
    <row r="1481">
      <c r="A1481" s="6" t="s">
        <v>736</v>
      </c>
    </row>
    <row r="1482">
      <c r="A1482" s="7"/>
    </row>
    <row r="1483">
      <c r="A1483" s="6" t="s">
        <v>737</v>
      </c>
    </row>
    <row r="1484">
      <c r="A1484" s="7"/>
    </row>
    <row r="1485">
      <c r="A1485" s="6" t="s">
        <v>738</v>
      </c>
    </row>
    <row r="1486">
      <c r="A1486" s="7"/>
    </row>
    <row r="1487">
      <c r="A1487" s="6" t="s">
        <v>739</v>
      </c>
    </row>
    <row r="1488">
      <c r="A1488" s="7"/>
    </row>
    <row r="1489">
      <c r="A1489" s="6" t="s">
        <v>740</v>
      </c>
    </row>
    <row r="1490">
      <c r="A1490" s="7"/>
    </row>
    <row r="1491">
      <c r="A1491" s="6" t="s">
        <v>741</v>
      </c>
    </row>
    <row r="1492">
      <c r="A1492" s="7"/>
    </row>
    <row r="1493">
      <c r="A1493" s="6" t="s">
        <v>742</v>
      </c>
    </row>
    <row r="1494">
      <c r="A1494" s="7"/>
    </row>
    <row r="1495">
      <c r="A1495" s="6" t="s">
        <v>743</v>
      </c>
    </row>
    <row r="1496">
      <c r="A1496" s="7"/>
    </row>
    <row r="1497">
      <c r="A1497" s="6" t="s">
        <v>744</v>
      </c>
    </row>
    <row r="1498">
      <c r="A1498" s="7"/>
    </row>
    <row r="1499">
      <c r="A1499" s="6" t="s">
        <v>745</v>
      </c>
    </row>
    <row r="1500">
      <c r="A1500" s="7"/>
    </row>
    <row r="1501">
      <c r="A1501" s="6" t="s">
        <v>746</v>
      </c>
    </row>
    <row r="1502">
      <c r="A1502" s="7"/>
    </row>
    <row r="1503">
      <c r="A1503" s="6" t="s">
        <v>747</v>
      </c>
    </row>
    <row r="1504">
      <c r="A1504" s="7"/>
    </row>
    <row r="1505">
      <c r="A1505" s="6" t="s">
        <v>748</v>
      </c>
    </row>
    <row r="1506">
      <c r="A1506" s="7"/>
    </row>
    <row r="1507">
      <c r="A1507" s="6" t="s">
        <v>749</v>
      </c>
    </row>
    <row r="1508">
      <c r="A1508" s="7"/>
    </row>
    <row r="1509">
      <c r="A1509" s="6" t="s">
        <v>750</v>
      </c>
    </row>
    <row r="1510">
      <c r="A1510" s="7"/>
    </row>
    <row r="1511">
      <c r="A1511" s="6" t="s">
        <v>751</v>
      </c>
    </row>
    <row r="1512">
      <c r="A1512" s="7"/>
    </row>
    <row r="1513">
      <c r="A1513" s="6" t="s">
        <v>752</v>
      </c>
    </row>
    <row r="1514">
      <c r="A1514" s="7"/>
    </row>
    <row r="1515">
      <c r="A1515" s="6" t="s">
        <v>753</v>
      </c>
    </row>
    <row r="1516">
      <c r="A1516" s="7"/>
    </row>
    <row r="1517">
      <c r="A1517" s="6" t="s">
        <v>754</v>
      </c>
    </row>
    <row r="1518">
      <c r="A1518" s="7"/>
    </row>
    <row r="1519">
      <c r="A1519" s="6" t="s">
        <v>755</v>
      </c>
    </row>
    <row r="1520">
      <c r="A1520" s="7"/>
    </row>
    <row r="1521">
      <c r="A1521" s="6" t="s">
        <v>756</v>
      </c>
    </row>
    <row r="1522">
      <c r="A1522" s="7"/>
    </row>
    <row r="1523">
      <c r="A1523" s="6" t="s">
        <v>757</v>
      </c>
    </row>
    <row r="1524">
      <c r="A1524" s="7"/>
    </row>
    <row r="1525">
      <c r="A1525" s="6" t="s">
        <v>758</v>
      </c>
    </row>
    <row r="1526">
      <c r="A1526" s="7"/>
    </row>
    <row r="1527">
      <c r="A1527" s="6" t="s">
        <v>759</v>
      </c>
    </row>
    <row r="1528">
      <c r="A1528" s="7"/>
    </row>
    <row r="1529">
      <c r="A1529" s="6" t="s">
        <v>760</v>
      </c>
    </row>
    <row r="1530">
      <c r="A1530" s="7"/>
    </row>
    <row r="1531">
      <c r="A1531" s="6" t="s">
        <v>761</v>
      </c>
    </row>
    <row r="1532">
      <c r="A1532" s="7"/>
    </row>
    <row r="1533">
      <c r="A1533" s="6" t="s">
        <v>762</v>
      </c>
    </row>
    <row r="1534">
      <c r="A1534" s="7"/>
    </row>
    <row r="1535">
      <c r="A1535" s="6" t="s">
        <v>763</v>
      </c>
    </row>
    <row r="1536">
      <c r="A1536" s="7"/>
    </row>
    <row r="1537">
      <c r="A1537" s="6" t="s">
        <v>764</v>
      </c>
    </row>
    <row r="1538">
      <c r="A1538" s="7"/>
    </row>
    <row r="1539">
      <c r="A1539" s="6" t="s">
        <v>765</v>
      </c>
    </row>
    <row r="1540">
      <c r="A1540" s="7"/>
    </row>
    <row r="1541">
      <c r="A1541" s="6" t="s">
        <v>766</v>
      </c>
    </row>
    <row r="1542">
      <c r="A1542" s="7"/>
    </row>
    <row r="1543">
      <c r="A1543" s="6" t="s">
        <v>767</v>
      </c>
    </row>
    <row r="1544">
      <c r="A1544" s="7"/>
    </row>
    <row r="1545">
      <c r="A1545" s="6" t="s">
        <v>768</v>
      </c>
    </row>
    <row r="1546">
      <c r="A1546" s="7"/>
    </row>
    <row r="1547">
      <c r="A1547" s="6" t="s">
        <v>769</v>
      </c>
    </row>
    <row r="1548">
      <c r="A1548" s="7"/>
    </row>
    <row r="1549">
      <c r="A1549" s="6" t="s">
        <v>770</v>
      </c>
    </row>
    <row r="1550">
      <c r="A1550" s="7"/>
    </row>
    <row r="1551">
      <c r="A1551" s="6" t="s">
        <v>771</v>
      </c>
    </row>
    <row r="1552">
      <c r="A1552" s="7"/>
    </row>
    <row r="1553">
      <c r="A1553" s="6" t="s">
        <v>772</v>
      </c>
    </row>
    <row r="1554">
      <c r="A1554" s="7"/>
    </row>
    <row r="1555">
      <c r="A1555" s="6" t="s">
        <v>773</v>
      </c>
    </row>
    <row r="1556">
      <c r="A1556" s="7"/>
    </row>
    <row r="1557">
      <c r="A1557" s="6" t="s">
        <v>774</v>
      </c>
    </row>
    <row r="1558">
      <c r="A1558" s="7"/>
    </row>
    <row r="1559">
      <c r="A1559" s="6" t="s">
        <v>775</v>
      </c>
    </row>
    <row r="1560">
      <c r="A1560" s="7"/>
    </row>
    <row r="1561">
      <c r="A1561" s="6" t="s">
        <v>776</v>
      </c>
    </row>
    <row r="1562">
      <c r="A1562" s="7"/>
    </row>
    <row r="1563">
      <c r="A1563" s="6" t="s">
        <v>777</v>
      </c>
    </row>
    <row r="1564">
      <c r="A1564" s="7"/>
    </row>
    <row r="1565">
      <c r="A1565" s="6" t="s">
        <v>778</v>
      </c>
    </row>
    <row r="1566">
      <c r="A1566" s="7"/>
    </row>
    <row r="1567">
      <c r="A1567" s="6" t="s">
        <v>779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45.75"/>
    <col customWidth="1" min="3" max="3" width="45.38"/>
  </cols>
  <sheetData>
    <row r="1">
      <c r="A1" s="8" t="s">
        <v>780</v>
      </c>
      <c r="B1" s="8" t="s">
        <v>781</v>
      </c>
      <c r="C1" s="8" t="s">
        <v>782</v>
      </c>
      <c r="D1" s="8" t="s">
        <v>783</v>
      </c>
    </row>
    <row r="2">
      <c r="A2" s="8" t="s">
        <v>784</v>
      </c>
      <c r="B2" s="2" t="s">
        <v>785</v>
      </c>
      <c r="C2" s="2" t="s">
        <v>786</v>
      </c>
      <c r="D2" s="8" t="s">
        <v>787</v>
      </c>
    </row>
    <row r="3">
      <c r="A3" s="8" t="s">
        <v>788</v>
      </c>
      <c r="B3" s="2" t="s">
        <v>789</v>
      </c>
      <c r="C3" s="2" t="s">
        <v>790</v>
      </c>
      <c r="D3" s="8" t="s">
        <v>787</v>
      </c>
    </row>
    <row r="4">
      <c r="A4" s="8" t="s">
        <v>791</v>
      </c>
      <c r="B4" s="2" t="s">
        <v>792</v>
      </c>
      <c r="C4" s="2" t="s">
        <v>793</v>
      </c>
      <c r="D4" s="8" t="s">
        <v>787</v>
      </c>
    </row>
    <row r="5">
      <c r="A5" s="8" t="s">
        <v>794</v>
      </c>
      <c r="B5" s="2" t="s">
        <v>795</v>
      </c>
      <c r="C5" s="2" t="s">
        <v>796</v>
      </c>
      <c r="D5" s="8" t="s">
        <v>797</v>
      </c>
    </row>
    <row r="6">
      <c r="A6" s="8" t="s">
        <v>798</v>
      </c>
      <c r="B6" s="2" t="s">
        <v>799</v>
      </c>
      <c r="C6" s="2" t="s">
        <v>800</v>
      </c>
      <c r="D6" s="8" t="s">
        <v>801</v>
      </c>
    </row>
    <row r="7">
      <c r="A7" s="8" t="s">
        <v>802</v>
      </c>
      <c r="B7" s="2" t="s">
        <v>803</v>
      </c>
      <c r="C7" s="2" t="s">
        <v>804</v>
      </c>
      <c r="D7" s="8" t="s">
        <v>787</v>
      </c>
    </row>
    <row r="8">
      <c r="A8" s="8" t="s">
        <v>805</v>
      </c>
      <c r="B8" s="2" t="s">
        <v>806</v>
      </c>
      <c r="C8" s="2" t="s">
        <v>807</v>
      </c>
      <c r="D8" s="8" t="s">
        <v>797</v>
      </c>
    </row>
    <row r="9">
      <c r="A9" s="8" t="s">
        <v>808</v>
      </c>
      <c r="B9" s="2" t="s">
        <v>809</v>
      </c>
      <c r="C9" s="2" t="s">
        <v>810</v>
      </c>
      <c r="D9" s="8" t="s">
        <v>811</v>
      </c>
    </row>
    <row r="10">
      <c r="A10" s="8" t="s">
        <v>812</v>
      </c>
      <c r="B10" s="2" t="s">
        <v>813</v>
      </c>
      <c r="C10" s="2" t="s">
        <v>814</v>
      </c>
      <c r="D10" s="8" t="s">
        <v>787</v>
      </c>
    </row>
    <row r="11">
      <c r="A11" s="8" t="s">
        <v>815</v>
      </c>
      <c r="B11" s="2" t="s">
        <v>816</v>
      </c>
      <c r="C11" s="2" t="s">
        <v>817</v>
      </c>
      <c r="D11" s="8" t="s">
        <v>797</v>
      </c>
    </row>
    <row r="12">
      <c r="A12" s="8" t="s">
        <v>818</v>
      </c>
      <c r="B12" s="2" t="s">
        <v>819</v>
      </c>
      <c r="C12" s="2" t="s">
        <v>820</v>
      </c>
      <c r="D12" s="8" t="s">
        <v>801</v>
      </c>
    </row>
    <row r="13">
      <c r="A13" s="8" t="s">
        <v>821</v>
      </c>
      <c r="B13" s="2" t="s">
        <v>822</v>
      </c>
      <c r="C13" s="2" t="s">
        <v>823</v>
      </c>
      <c r="D13" s="8" t="s">
        <v>811</v>
      </c>
    </row>
    <row r="14">
      <c r="A14" s="8" t="s">
        <v>824</v>
      </c>
      <c r="B14" s="2" t="s">
        <v>825</v>
      </c>
      <c r="C14" s="2" t="s">
        <v>826</v>
      </c>
      <c r="D14" s="8" t="s">
        <v>827</v>
      </c>
    </row>
    <row r="15">
      <c r="A15" s="8" t="s">
        <v>828</v>
      </c>
      <c r="B15" s="2" t="s">
        <v>829</v>
      </c>
      <c r="C15" s="2" t="s">
        <v>830</v>
      </c>
      <c r="D15" s="8" t="s">
        <v>811</v>
      </c>
    </row>
    <row r="16">
      <c r="A16" s="8" t="s">
        <v>831</v>
      </c>
      <c r="B16" s="2" t="s">
        <v>832</v>
      </c>
      <c r="C16" s="2" t="s">
        <v>833</v>
      </c>
      <c r="D16" s="8" t="s">
        <v>801</v>
      </c>
    </row>
    <row r="17">
      <c r="A17" s="8" t="s">
        <v>834</v>
      </c>
      <c r="B17" s="2" t="s">
        <v>835</v>
      </c>
      <c r="C17" s="2" t="s">
        <v>836</v>
      </c>
      <c r="D17" s="8" t="s">
        <v>801</v>
      </c>
    </row>
    <row r="18">
      <c r="A18" s="8" t="s">
        <v>837</v>
      </c>
      <c r="B18" s="2" t="s">
        <v>838</v>
      </c>
      <c r="C18" s="2" t="s">
        <v>839</v>
      </c>
      <c r="D18" s="8" t="s">
        <v>801</v>
      </c>
    </row>
    <row r="19">
      <c r="A19" s="8" t="s">
        <v>840</v>
      </c>
      <c r="B19" s="2" t="s">
        <v>841</v>
      </c>
      <c r="C19" s="2" t="s">
        <v>842</v>
      </c>
      <c r="D19" s="8" t="s">
        <v>797</v>
      </c>
    </row>
    <row r="20">
      <c r="A20" s="8" t="s">
        <v>843</v>
      </c>
      <c r="B20" s="2" t="s">
        <v>844</v>
      </c>
      <c r="C20" s="2" t="s">
        <v>845</v>
      </c>
      <c r="D20" s="8" t="s">
        <v>787</v>
      </c>
    </row>
    <row r="21">
      <c r="A21" s="8" t="s">
        <v>846</v>
      </c>
      <c r="B21" s="2" t="s">
        <v>847</v>
      </c>
      <c r="C21" s="2" t="s">
        <v>848</v>
      </c>
      <c r="D21" s="8" t="s">
        <v>811</v>
      </c>
    </row>
    <row r="22">
      <c r="A22" s="8" t="s">
        <v>849</v>
      </c>
      <c r="B22" s="2" t="s">
        <v>850</v>
      </c>
      <c r="C22" s="2" t="s">
        <v>851</v>
      </c>
      <c r="D22" s="8" t="s">
        <v>811</v>
      </c>
    </row>
    <row r="23">
      <c r="A23" s="8" t="s">
        <v>852</v>
      </c>
      <c r="B23" s="2" t="s">
        <v>853</v>
      </c>
      <c r="C23" s="2" t="s">
        <v>854</v>
      </c>
      <c r="D23" s="8" t="s">
        <v>811</v>
      </c>
    </row>
    <row r="24">
      <c r="A24" s="8" t="s">
        <v>855</v>
      </c>
      <c r="B24" s="2" t="s">
        <v>856</v>
      </c>
      <c r="C24" s="2" t="s">
        <v>857</v>
      </c>
      <c r="D24" s="8" t="s">
        <v>787</v>
      </c>
    </row>
    <row r="25">
      <c r="A25" s="8" t="s">
        <v>858</v>
      </c>
      <c r="B25" s="2" t="s">
        <v>859</v>
      </c>
      <c r="C25" s="2" t="s">
        <v>860</v>
      </c>
      <c r="D25" s="8" t="s">
        <v>861</v>
      </c>
    </row>
    <row r="26">
      <c r="A26" s="8" t="s">
        <v>862</v>
      </c>
      <c r="B26" s="2" t="s">
        <v>863</v>
      </c>
      <c r="C26" s="2" t="s">
        <v>864</v>
      </c>
      <c r="D26" s="8" t="s">
        <v>865</v>
      </c>
    </row>
    <row r="27">
      <c r="A27" s="8" t="s">
        <v>866</v>
      </c>
      <c r="B27" s="2" t="s">
        <v>867</v>
      </c>
      <c r="C27" s="2" t="s">
        <v>868</v>
      </c>
      <c r="D27" s="8" t="s">
        <v>827</v>
      </c>
    </row>
    <row r="28">
      <c r="A28" s="8" t="s">
        <v>869</v>
      </c>
      <c r="B28" s="2" t="s">
        <v>870</v>
      </c>
      <c r="C28" s="2" t="s">
        <v>871</v>
      </c>
      <c r="D28" s="8" t="s">
        <v>797</v>
      </c>
    </row>
    <row r="29">
      <c r="A29" s="8" t="s">
        <v>872</v>
      </c>
      <c r="B29" s="2" t="s">
        <v>873</v>
      </c>
      <c r="C29" s="2" t="s">
        <v>874</v>
      </c>
      <c r="D29" s="8" t="s">
        <v>827</v>
      </c>
    </row>
    <row r="30">
      <c r="A30" s="8" t="s">
        <v>875</v>
      </c>
      <c r="B30" s="2" t="s">
        <v>876</v>
      </c>
      <c r="C30" s="2" t="s">
        <v>877</v>
      </c>
      <c r="D30" s="8" t="s">
        <v>878</v>
      </c>
    </row>
    <row r="31">
      <c r="A31" s="8" t="s">
        <v>879</v>
      </c>
      <c r="B31" s="2" t="s">
        <v>880</v>
      </c>
      <c r="C31" s="2" t="s">
        <v>881</v>
      </c>
      <c r="D31" s="8" t="s">
        <v>861</v>
      </c>
    </row>
    <row r="32">
      <c r="A32" s="8" t="s">
        <v>882</v>
      </c>
      <c r="B32" s="2" t="s">
        <v>883</v>
      </c>
      <c r="C32" s="2" t="s">
        <v>884</v>
      </c>
      <c r="D32" s="8" t="s">
        <v>797</v>
      </c>
    </row>
    <row r="33">
      <c r="A33" s="8" t="s">
        <v>885</v>
      </c>
      <c r="B33" s="2" t="s">
        <v>886</v>
      </c>
      <c r="C33" s="2" t="s">
        <v>887</v>
      </c>
      <c r="D33" s="8" t="s">
        <v>811</v>
      </c>
    </row>
    <row r="34">
      <c r="A34" s="8" t="s">
        <v>888</v>
      </c>
      <c r="B34" s="2" t="s">
        <v>889</v>
      </c>
      <c r="C34" s="2" t="s">
        <v>890</v>
      </c>
      <c r="D34" s="8" t="s">
        <v>787</v>
      </c>
    </row>
    <row r="35">
      <c r="A35" s="8" t="s">
        <v>891</v>
      </c>
      <c r="B35" s="2" t="s">
        <v>892</v>
      </c>
      <c r="C35" s="2" t="s">
        <v>893</v>
      </c>
      <c r="D35" s="8" t="s">
        <v>787</v>
      </c>
    </row>
    <row r="36">
      <c r="A36" s="8" t="s">
        <v>894</v>
      </c>
      <c r="B36" s="2" t="s">
        <v>895</v>
      </c>
      <c r="C36" s="2" t="s">
        <v>896</v>
      </c>
      <c r="D36" s="8" t="s">
        <v>797</v>
      </c>
    </row>
    <row r="37">
      <c r="A37" s="8" t="s">
        <v>897</v>
      </c>
      <c r="B37" s="2" t="s">
        <v>898</v>
      </c>
      <c r="C37" s="2" t="s">
        <v>899</v>
      </c>
      <c r="D37" s="8" t="s">
        <v>787</v>
      </c>
    </row>
    <row r="38">
      <c r="A38" s="8" t="s">
        <v>900</v>
      </c>
      <c r="B38" s="2" t="s">
        <v>901</v>
      </c>
      <c r="C38" s="2" t="s">
        <v>902</v>
      </c>
      <c r="D38" s="8" t="s">
        <v>827</v>
      </c>
    </row>
    <row r="39">
      <c r="A39" s="8" t="s">
        <v>903</v>
      </c>
      <c r="B39" s="2" t="s">
        <v>904</v>
      </c>
      <c r="C39" s="2" t="s">
        <v>905</v>
      </c>
      <c r="D39" s="8" t="s">
        <v>787</v>
      </c>
    </row>
    <row r="40">
      <c r="A40" s="8" t="s">
        <v>906</v>
      </c>
      <c r="B40" s="2" t="s">
        <v>907</v>
      </c>
      <c r="C40" s="2" t="s">
        <v>908</v>
      </c>
      <c r="D40" s="8" t="s">
        <v>827</v>
      </c>
    </row>
    <row r="41">
      <c r="A41" s="8" t="s">
        <v>909</v>
      </c>
      <c r="B41" s="2" t="s">
        <v>910</v>
      </c>
      <c r="C41" s="2" t="s">
        <v>911</v>
      </c>
      <c r="D41" s="8" t="s">
        <v>801</v>
      </c>
    </row>
    <row r="42">
      <c r="A42" s="8" t="s">
        <v>912</v>
      </c>
      <c r="B42" s="2" t="s">
        <v>913</v>
      </c>
      <c r="C42" s="2" t="s">
        <v>914</v>
      </c>
      <c r="D42" s="8" t="s">
        <v>865</v>
      </c>
    </row>
    <row r="43">
      <c r="A43" s="8" t="s">
        <v>915</v>
      </c>
      <c r="B43" s="2" t="s">
        <v>916</v>
      </c>
      <c r="C43" s="2" t="s">
        <v>917</v>
      </c>
      <c r="D43" s="8" t="s">
        <v>865</v>
      </c>
    </row>
    <row r="44">
      <c r="A44" s="8" t="s">
        <v>918</v>
      </c>
      <c r="B44" s="2" t="s">
        <v>919</v>
      </c>
      <c r="C44" s="2" t="s">
        <v>920</v>
      </c>
      <c r="D44" s="8" t="s">
        <v>827</v>
      </c>
    </row>
    <row r="45">
      <c r="A45" s="8" t="s">
        <v>921</v>
      </c>
      <c r="B45" s="2" t="s">
        <v>922</v>
      </c>
      <c r="C45" s="2" t="s">
        <v>923</v>
      </c>
      <c r="D45" s="8" t="s">
        <v>861</v>
      </c>
    </row>
    <row r="46">
      <c r="A46" s="8" t="s">
        <v>924</v>
      </c>
      <c r="B46" s="2" t="s">
        <v>925</v>
      </c>
      <c r="C46" s="2" t="s">
        <v>926</v>
      </c>
      <c r="D46" s="8" t="s">
        <v>811</v>
      </c>
    </row>
    <row r="47">
      <c r="A47" s="8" t="s">
        <v>927</v>
      </c>
      <c r="B47" s="2" t="s">
        <v>928</v>
      </c>
      <c r="C47" s="2" t="s">
        <v>929</v>
      </c>
      <c r="D47" s="8" t="s">
        <v>811</v>
      </c>
    </row>
    <row r="48">
      <c r="A48" s="8" t="s">
        <v>930</v>
      </c>
      <c r="B48" s="2" t="s">
        <v>931</v>
      </c>
      <c r="C48" s="2" t="s">
        <v>932</v>
      </c>
      <c r="D48" s="8" t="s">
        <v>797</v>
      </c>
    </row>
    <row r="49">
      <c r="A49" s="8" t="s">
        <v>933</v>
      </c>
      <c r="B49" s="2" t="s">
        <v>934</v>
      </c>
      <c r="C49" s="2" t="s">
        <v>935</v>
      </c>
      <c r="D49" s="8" t="s">
        <v>787</v>
      </c>
    </row>
    <row r="50">
      <c r="A50" s="8" t="s">
        <v>936</v>
      </c>
      <c r="B50" s="2" t="s">
        <v>937</v>
      </c>
      <c r="C50" s="2" t="s">
        <v>938</v>
      </c>
      <c r="D50" s="8" t="s">
        <v>811</v>
      </c>
    </row>
    <row r="51">
      <c r="A51" s="8" t="s">
        <v>939</v>
      </c>
      <c r="B51" s="2" t="s">
        <v>940</v>
      </c>
      <c r="C51" s="2" t="s">
        <v>941</v>
      </c>
      <c r="D51" s="8" t="s">
        <v>827</v>
      </c>
    </row>
    <row r="52">
      <c r="A52" s="8" t="s">
        <v>942</v>
      </c>
      <c r="B52" s="2" t="s">
        <v>943</v>
      </c>
      <c r="C52" s="2" t="s">
        <v>944</v>
      </c>
      <c r="D52" s="8" t="s">
        <v>811</v>
      </c>
    </row>
    <row r="53">
      <c r="A53" s="8" t="s">
        <v>945</v>
      </c>
      <c r="B53" s="2" t="s">
        <v>946</v>
      </c>
      <c r="C53" s="2" t="s">
        <v>947</v>
      </c>
      <c r="D53" s="8" t="s">
        <v>787</v>
      </c>
    </row>
    <row r="54">
      <c r="A54" s="8" t="s">
        <v>948</v>
      </c>
      <c r="B54" s="2" t="s">
        <v>949</v>
      </c>
      <c r="C54" s="2" t="s">
        <v>950</v>
      </c>
      <c r="D54" s="8" t="s">
        <v>878</v>
      </c>
    </row>
    <row r="55">
      <c r="A55" s="8" t="s">
        <v>951</v>
      </c>
      <c r="B55" s="2" t="s">
        <v>952</v>
      </c>
      <c r="C55" s="2" t="s">
        <v>953</v>
      </c>
      <c r="D55" s="8" t="s">
        <v>878</v>
      </c>
    </row>
    <row r="56">
      <c r="A56" s="8" t="s">
        <v>954</v>
      </c>
      <c r="B56" s="2" t="s">
        <v>955</v>
      </c>
      <c r="C56" s="2" t="s">
        <v>956</v>
      </c>
      <c r="D56" s="8" t="s">
        <v>787</v>
      </c>
    </row>
    <row r="57">
      <c r="A57" s="8" t="s">
        <v>957</v>
      </c>
      <c r="B57" s="2" t="s">
        <v>958</v>
      </c>
      <c r="C57" s="2" t="s">
        <v>959</v>
      </c>
      <c r="D57" s="8" t="s">
        <v>797</v>
      </c>
    </row>
    <row r="58">
      <c r="A58" s="8" t="s">
        <v>960</v>
      </c>
      <c r="B58" s="2" t="s">
        <v>961</v>
      </c>
      <c r="C58" s="2" t="s">
        <v>962</v>
      </c>
      <c r="D58" s="8" t="s">
        <v>827</v>
      </c>
    </row>
    <row r="59">
      <c r="A59" s="8" t="s">
        <v>963</v>
      </c>
      <c r="B59" s="2" t="s">
        <v>964</v>
      </c>
      <c r="C59" s="2" t="s">
        <v>965</v>
      </c>
      <c r="D59" s="8" t="s">
        <v>811</v>
      </c>
    </row>
    <row r="60">
      <c r="A60" s="8" t="s">
        <v>966</v>
      </c>
      <c r="B60" s="2" t="s">
        <v>967</v>
      </c>
      <c r="C60" s="2" t="s">
        <v>968</v>
      </c>
      <c r="D60" s="8" t="s">
        <v>827</v>
      </c>
    </row>
    <row r="61">
      <c r="A61" s="8" t="s">
        <v>969</v>
      </c>
      <c r="B61" s="2" t="s">
        <v>970</v>
      </c>
      <c r="C61" s="2" t="s">
        <v>971</v>
      </c>
      <c r="D61" s="8" t="s">
        <v>878</v>
      </c>
    </row>
    <row r="62">
      <c r="A62" s="8" t="s">
        <v>972</v>
      </c>
      <c r="B62" s="2" t="s">
        <v>973</v>
      </c>
      <c r="C62" s="2" t="s">
        <v>974</v>
      </c>
      <c r="D62" s="8" t="s">
        <v>827</v>
      </c>
    </row>
    <row r="63">
      <c r="A63" s="8" t="s">
        <v>975</v>
      </c>
      <c r="B63" s="2" t="s">
        <v>976</v>
      </c>
      <c r="C63" s="2" t="s">
        <v>977</v>
      </c>
      <c r="D63" s="8" t="s">
        <v>878</v>
      </c>
    </row>
    <row r="64">
      <c r="A64" s="8" t="s">
        <v>978</v>
      </c>
      <c r="B64" s="2" t="s">
        <v>979</v>
      </c>
      <c r="C64" s="2" t="s">
        <v>980</v>
      </c>
      <c r="D64" s="8" t="s">
        <v>811</v>
      </c>
    </row>
    <row r="65">
      <c r="A65" s="8" t="s">
        <v>981</v>
      </c>
      <c r="B65" s="2" t="s">
        <v>982</v>
      </c>
      <c r="C65" s="2" t="s">
        <v>983</v>
      </c>
      <c r="D65" s="8" t="s">
        <v>797</v>
      </c>
    </row>
    <row r="66">
      <c r="A66" s="8" t="s">
        <v>984</v>
      </c>
      <c r="B66" s="2" t="s">
        <v>985</v>
      </c>
      <c r="C66" s="2" t="s">
        <v>986</v>
      </c>
      <c r="D66" s="8" t="s">
        <v>827</v>
      </c>
    </row>
    <row r="67">
      <c r="A67" s="8" t="s">
        <v>987</v>
      </c>
      <c r="B67" s="2" t="s">
        <v>988</v>
      </c>
      <c r="C67" s="2" t="s">
        <v>989</v>
      </c>
      <c r="D67" s="8" t="s">
        <v>811</v>
      </c>
    </row>
    <row r="68">
      <c r="A68" s="8" t="s">
        <v>990</v>
      </c>
      <c r="B68" s="2" t="s">
        <v>991</v>
      </c>
      <c r="C68" s="2" t="s">
        <v>992</v>
      </c>
      <c r="D68" s="8" t="s">
        <v>801</v>
      </c>
    </row>
    <row r="69">
      <c r="A69" s="8" t="s">
        <v>993</v>
      </c>
      <c r="B69" s="2" t="s">
        <v>994</v>
      </c>
      <c r="C69" s="2" t="s">
        <v>995</v>
      </c>
      <c r="D69" s="8" t="s">
        <v>811</v>
      </c>
    </row>
    <row r="70">
      <c r="A70" s="8" t="s">
        <v>996</v>
      </c>
      <c r="B70" s="2" t="s">
        <v>997</v>
      </c>
      <c r="C70" s="2" t="s">
        <v>998</v>
      </c>
      <c r="D70" s="8" t="s">
        <v>797</v>
      </c>
    </row>
    <row r="71">
      <c r="A71" s="8" t="s">
        <v>999</v>
      </c>
      <c r="B71" s="2" t="s">
        <v>1000</v>
      </c>
      <c r="C71" s="2" t="s">
        <v>1001</v>
      </c>
      <c r="D71" s="8" t="s">
        <v>865</v>
      </c>
    </row>
    <row r="72">
      <c r="A72" s="8" t="s">
        <v>1002</v>
      </c>
      <c r="B72" s="2" t="s">
        <v>1003</v>
      </c>
      <c r="C72" s="2" t="s">
        <v>1004</v>
      </c>
      <c r="D72" s="8" t="s">
        <v>878</v>
      </c>
    </row>
    <row r="73">
      <c r="A73" s="8" t="s">
        <v>1005</v>
      </c>
      <c r="B73" s="2" t="s">
        <v>1006</v>
      </c>
      <c r="C73" s="2" t="s">
        <v>1007</v>
      </c>
      <c r="D73" s="8" t="s">
        <v>801</v>
      </c>
    </row>
    <row r="74">
      <c r="A74" s="8" t="s">
        <v>1008</v>
      </c>
      <c r="B74" s="2" t="s">
        <v>1009</v>
      </c>
      <c r="C74" s="2" t="s">
        <v>1010</v>
      </c>
      <c r="D74" s="8" t="s">
        <v>811</v>
      </c>
    </row>
    <row r="75">
      <c r="A75" s="8" t="s">
        <v>1011</v>
      </c>
      <c r="B75" s="2" t="s">
        <v>1012</v>
      </c>
      <c r="C75" s="2" t="s">
        <v>1013</v>
      </c>
      <c r="D75" s="8" t="s">
        <v>797</v>
      </c>
    </row>
    <row r="76">
      <c r="A76" s="8" t="s">
        <v>1014</v>
      </c>
      <c r="B76" s="2" t="s">
        <v>1015</v>
      </c>
      <c r="C76" s="2" t="s">
        <v>1016</v>
      </c>
      <c r="D76" s="8" t="s">
        <v>827</v>
      </c>
    </row>
    <row r="77">
      <c r="A77" s="8" t="s">
        <v>1017</v>
      </c>
      <c r="B77" s="2" t="s">
        <v>1018</v>
      </c>
      <c r="C77" s="2" t="s">
        <v>1019</v>
      </c>
      <c r="D77" s="8" t="s">
        <v>787</v>
      </c>
    </row>
    <row r="78">
      <c r="A78" s="8" t="s">
        <v>1020</v>
      </c>
      <c r="B78" s="2" t="s">
        <v>1021</v>
      </c>
      <c r="C78" s="2" t="s">
        <v>1022</v>
      </c>
      <c r="D78" s="8" t="s">
        <v>861</v>
      </c>
    </row>
    <row r="79">
      <c r="A79" s="8" t="s">
        <v>1023</v>
      </c>
      <c r="B79" s="2" t="s">
        <v>1024</v>
      </c>
      <c r="C79" s="2" t="s">
        <v>1025</v>
      </c>
      <c r="D79" s="8" t="s">
        <v>811</v>
      </c>
    </row>
    <row r="80">
      <c r="A80" s="8" t="s">
        <v>1026</v>
      </c>
      <c r="B80" s="2" t="s">
        <v>1027</v>
      </c>
      <c r="C80" s="2" t="s">
        <v>1028</v>
      </c>
      <c r="D80" s="8" t="s">
        <v>827</v>
      </c>
    </row>
    <row r="81">
      <c r="A81" s="8" t="s">
        <v>1029</v>
      </c>
      <c r="B81" s="2" t="s">
        <v>1030</v>
      </c>
      <c r="C81" s="2" t="s">
        <v>1031</v>
      </c>
      <c r="D81" s="8" t="s">
        <v>827</v>
      </c>
    </row>
    <row r="82">
      <c r="A82" s="8" t="s">
        <v>1032</v>
      </c>
      <c r="B82" s="2" t="s">
        <v>1033</v>
      </c>
      <c r="C82" s="2" t="s">
        <v>1034</v>
      </c>
      <c r="D82" s="8" t="s">
        <v>801</v>
      </c>
    </row>
    <row r="83">
      <c r="A83" s="8" t="s">
        <v>1035</v>
      </c>
      <c r="B83" s="2" t="s">
        <v>1036</v>
      </c>
      <c r="C83" s="2" t="s">
        <v>1037</v>
      </c>
      <c r="D83" s="8" t="s">
        <v>797</v>
      </c>
    </row>
    <row r="84">
      <c r="A84" s="8" t="s">
        <v>1038</v>
      </c>
      <c r="B84" s="2" t="s">
        <v>1039</v>
      </c>
      <c r="C84" s="2" t="s">
        <v>1040</v>
      </c>
      <c r="D84" s="8" t="s">
        <v>811</v>
      </c>
    </row>
    <row r="85">
      <c r="A85" s="8" t="s">
        <v>1041</v>
      </c>
      <c r="B85" s="2" t="s">
        <v>1042</v>
      </c>
      <c r="C85" s="2" t="s">
        <v>1043</v>
      </c>
      <c r="D85" s="8" t="s">
        <v>811</v>
      </c>
    </row>
    <row r="86">
      <c r="A86" s="8" t="s">
        <v>1044</v>
      </c>
      <c r="B86" s="2" t="s">
        <v>1045</v>
      </c>
      <c r="C86" s="2" t="s">
        <v>1046</v>
      </c>
      <c r="D86" s="8" t="s">
        <v>861</v>
      </c>
    </row>
    <row r="87">
      <c r="A87" s="8" t="s">
        <v>1047</v>
      </c>
      <c r="B87" s="2" t="s">
        <v>1048</v>
      </c>
      <c r="C87" s="2" t="s">
        <v>1049</v>
      </c>
      <c r="D87" s="8" t="s">
        <v>797</v>
      </c>
    </row>
    <row r="88">
      <c r="A88" s="8" t="s">
        <v>1050</v>
      </c>
      <c r="B88" s="2" t="s">
        <v>1051</v>
      </c>
      <c r="C88" s="2" t="s">
        <v>1052</v>
      </c>
      <c r="D88" s="8" t="s">
        <v>797</v>
      </c>
    </row>
    <row r="89">
      <c r="A89" s="8" t="s">
        <v>1053</v>
      </c>
      <c r="B89" s="2" t="s">
        <v>1054</v>
      </c>
      <c r="C89" s="2" t="s">
        <v>1055</v>
      </c>
      <c r="D89" s="8" t="s">
        <v>797</v>
      </c>
    </row>
    <row r="90">
      <c r="A90" s="8" t="s">
        <v>1056</v>
      </c>
      <c r="B90" s="2" t="s">
        <v>1057</v>
      </c>
      <c r="C90" s="2" t="s">
        <v>1058</v>
      </c>
      <c r="D90" s="8" t="s">
        <v>787</v>
      </c>
    </row>
    <row r="91">
      <c r="A91" s="8" t="s">
        <v>1059</v>
      </c>
      <c r="B91" s="2" t="s">
        <v>1060</v>
      </c>
      <c r="C91" s="2" t="s">
        <v>1061</v>
      </c>
      <c r="D91" s="8" t="s">
        <v>787</v>
      </c>
    </row>
    <row r="92">
      <c r="A92" s="8" t="s">
        <v>1062</v>
      </c>
      <c r="B92" s="2" t="s">
        <v>1063</v>
      </c>
      <c r="C92" s="2" t="s">
        <v>1064</v>
      </c>
      <c r="D92" s="8" t="s">
        <v>787</v>
      </c>
    </row>
    <row r="93">
      <c r="A93" s="8" t="s">
        <v>1065</v>
      </c>
      <c r="B93" s="2" t="s">
        <v>1066</v>
      </c>
      <c r="C93" s="2" t="s">
        <v>1067</v>
      </c>
      <c r="D93" s="8" t="s">
        <v>811</v>
      </c>
    </row>
    <row r="94">
      <c r="A94" s="8" t="s">
        <v>1068</v>
      </c>
      <c r="B94" s="2" t="s">
        <v>1069</v>
      </c>
      <c r="C94" s="2" t="s">
        <v>1070</v>
      </c>
      <c r="D94" s="8" t="s">
        <v>878</v>
      </c>
    </row>
    <row r="95">
      <c r="A95" s="8" t="s">
        <v>1071</v>
      </c>
      <c r="B95" s="2" t="s">
        <v>1072</v>
      </c>
      <c r="C95" s="2" t="s">
        <v>1073</v>
      </c>
      <c r="D95" s="8" t="s">
        <v>797</v>
      </c>
    </row>
    <row r="96">
      <c r="A96" s="8" t="s">
        <v>1074</v>
      </c>
      <c r="B96" s="2" t="s">
        <v>1075</v>
      </c>
      <c r="C96" s="2" t="s">
        <v>1076</v>
      </c>
      <c r="D96" s="8" t="s">
        <v>801</v>
      </c>
    </row>
    <row r="97">
      <c r="A97" s="8" t="s">
        <v>1077</v>
      </c>
      <c r="B97" s="2" t="s">
        <v>1078</v>
      </c>
      <c r="C97" s="2" t="s">
        <v>1079</v>
      </c>
      <c r="D97" s="8" t="s">
        <v>787</v>
      </c>
    </row>
    <row r="98">
      <c r="A98" s="8" t="s">
        <v>1080</v>
      </c>
      <c r="B98" s="2" t="s">
        <v>1081</v>
      </c>
      <c r="C98" s="2" t="s">
        <v>1082</v>
      </c>
      <c r="D98" s="8" t="s">
        <v>797</v>
      </c>
    </row>
    <row r="99">
      <c r="A99" s="8" t="s">
        <v>1083</v>
      </c>
      <c r="B99" s="2" t="s">
        <v>1084</v>
      </c>
      <c r="C99" s="2" t="s">
        <v>1085</v>
      </c>
      <c r="D99" s="8" t="s">
        <v>827</v>
      </c>
    </row>
    <row r="100">
      <c r="A100" s="8" t="s">
        <v>1086</v>
      </c>
      <c r="B100" s="2" t="s">
        <v>1087</v>
      </c>
      <c r="C100" s="2" t="s">
        <v>1088</v>
      </c>
      <c r="D100" s="8" t="s">
        <v>801</v>
      </c>
    </row>
    <row r="101">
      <c r="A101" s="8" t="s">
        <v>1089</v>
      </c>
      <c r="B101" s="2" t="s">
        <v>1090</v>
      </c>
      <c r="C101" s="2" t="s">
        <v>1091</v>
      </c>
      <c r="D101" s="8" t="s">
        <v>811</v>
      </c>
    </row>
    <row r="102">
      <c r="A102" s="8" t="s">
        <v>1092</v>
      </c>
      <c r="B102" s="2" t="s">
        <v>1093</v>
      </c>
      <c r="C102" s="2" t="s">
        <v>1094</v>
      </c>
      <c r="D102" s="8" t="s">
        <v>878</v>
      </c>
    </row>
    <row r="103">
      <c r="A103" s="8" t="s">
        <v>1095</v>
      </c>
      <c r="B103" s="2" t="s">
        <v>1096</v>
      </c>
      <c r="C103" s="2" t="s">
        <v>1097</v>
      </c>
      <c r="D103" s="8" t="s">
        <v>827</v>
      </c>
    </row>
    <row r="104">
      <c r="A104" s="8" t="s">
        <v>1098</v>
      </c>
      <c r="B104" s="2" t="s">
        <v>1099</v>
      </c>
      <c r="C104" s="2" t="s">
        <v>1100</v>
      </c>
      <c r="D104" s="8" t="s">
        <v>827</v>
      </c>
    </row>
    <row r="105">
      <c r="A105" s="8" t="s">
        <v>1101</v>
      </c>
      <c r="B105" s="2" t="s">
        <v>1102</v>
      </c>
      <c r="C105" s="2" t="s">
        <v>1103</v>
      </c>
      <c r="D105" s="8" t="s">
        <v>787</v>
      </c>
    </row>
    <row r="106">
      <c r="A106" s="8" t="s">
        <v>1104</v>
      </c>
      <c r="B106" s="2" t="s">
        <v>1105</v>
      </c>
      <c r="C106" s="2" t="s">
        <v>1106</v>
      </c>
      <c r="D106" s="8" t="s">
        <v>827</v>
      </c>
    </row>
    <row r="107">
      <c r="A107" s="8" t="s">
        <v>1107</v>
      </c>
      <c r="B107" s="2" t="s">
        <v>1108</v>
      </c>
      <c r="C107" s="2" t="s">
        <v>1109</v>
      </c>
      <c r="D107" s="8" t="s">
        <v>811</v>
      </c>
    </row>
    <row r="108">
      <c r="A108" s="8" t="s">
        <v>1110</v>
      </c>
      <c r="B108" s="2" t="s">
        <v>1111</v>
      </c>
      <c r="C108" s="2" t="s">
        <v>1112</v>
      </c>
      <c r="D108" s="8" t="s">
        <v>797</v>
      </c>
    </row>
    <row r="109">
      <c r="A109" s="8" t="s">
        <v>1113</v>
      </c>
      <c r="B109" s="2" t="s">
        <v>1114</v>
      </c>
      <c r="C109" s="2" t="s">
        <v>1115</v>
      </c>
      <c r="D109" s="8" t="s">
        <v>827</v>
      </c>
    </row>
    <row r="110">
      <c r="A110" s="8" t="s">
        <v>1116</v>
      </c>
      <c r="B110" s="2" t="s">
        <v>1117</v>
      </c>
      <c r="C110" s="2" t="s">
        <v>1118</v>
      </c>
      <c r="D110" s="8" t="s">
        <v>801</v>
      </c>
    </row>
    <row r="111">
      <c r="A111" s="8" t="s">
        <v>1119</v>
      </c>
      <c r="B111" s="2" t="s">
        <v>1120</v>
      </c>
      <c r="C111" s="2" t="s">
        <v>1121</v>
      </c>
      <c r="D111" s="8" t="s">
        <v>865</v>
      </c>
    </row>
    <row r="112">
      <c r="A112" s="8" t="s">
        <v>1122</v>
      </c>
      <c r="B112" s="2" t="s">
        <v>1123</v>
      </c>
      <c r="C112" s="2" t="s">
        <v>1124</v>
      </c>
      <c r="D112" s="8" t="s">
        <v>861</v>
      </c>
    </row>
    <row r="113">
      <c r="A113" s="8" t="s">
        <v>1125</v>
      </c>
      <c r="B113" s="2" t="s">
        <v>1126</v>
      </c>
      <c r="C113" s="2" t="s">
        <v>1127</v>
      </c>
      <c r="D113" s="8" t="s">
        <v>811</v>
      </c>
    </row>
    <row r="114">
      <c r="A114" s="8" t="s">
        <v>1128</v>
      </c>
      <c r="B114" s="2" t="s">
        <v>1129</v>
      </c>
      <c r="C114" s="2" t="s">
        <v>1130</v>
      </c>
      <c r="D114" s="8" t="s">
        <v>797</v>
      </c>
    </row>
    <row r="115">
      <c r="A115" s="8" t="s">
        <v>1131</v>
      </c>
      <c r="B115" s="2" t="s">
        <v>1132</v>
      </c>
      <c r="C115" s="2" t="s">
        <v>1133</v>
      </c>
      <c r="D115" s="8" t="s">
        <v>878</v>
      </c>
    </row>
    <row r="116">
      <c r="A116" s="8" t="s">
        <v>1134</v>
      </c>
      <c r="B116" s="2" t="s">
        <v>1135</v>
      </c>
      <c r="C116" s="2" t="s">
        <v>1136</v>
      </c>
      <c r="D116" s="8" t="s">
        <v>801</v>
      </c>
    </row>
    <row r="117">
      <c r="A117" s="8" t="s">
        <v>1137</v>
      </c>
      <c r="B117" s="2" t="s">
        <v>1138</v>
      </c>
      <c r="C117" s="2" t="s">
        <v>1139</v>
      </c>
      <c r="D117" s="8" t="s">
        <v>811</v>
      </c>
    </row>
    <row r="118">
      <c r="A118" s="8" t="s">
        <v>1140</v>
      </c>
      <c r="B118" s="2" t="s">
        <v>1141</v>
      </c>
      <c r="C118" s="2" t="s">
        <v>1142</v>
      </c>
      <c r="D118" s="8" t="s">
        <v>865</v>
      </c>
    </row>
    <row r="119">
      <c r="A119" s="8" t="s">
        <v>1143</v>
      </c>
      <c r="B119" s="2" t="s">
        <v>1144</v>
      </c>
      <c r="C119" s="2" t="s">
        <v>1145</v>
      </c>
      <c r="D119" s="8" t="s">
        <v>827</v>
      </c>
    </row>
    <row r="120">
      <c r="A120" s="8" t="s">
        <v>1146</v>
      </c>
      <c r="B120" s="2" t="s">
        <v>1147</v>
      </c>
      <c r="C120" s="2" t="s">
        <v>1148</v>
      </c>
      <c r="D120" s="8" t="s">
        <v>827</v>
      </c>
    </row>
    <row r="121">
      <c r="A121" s="8" t="s">
        <v>1149</v>
      </c>
      <c r="B121" s="2" t="s">
        <v>1150</v>
      </c>
      <c r="C121" s="2" t="s">
        <v>1151</v>
      </c>
      <c r="D121" s="8" t="s">
        <v>811</v>
      </c>
    </row>
    <row r="122">
      <c r="A122" s="8" t="s">
        <v>1152</v>
      </c>
      <c r="B122" s="2" t="s">
        <v>1153</v>
      </c>
      <c r="C122" s="2" t="s">
        <v>1154</v>
      </c>
      <c r="D122" s="8" t="s">
        <v>865</v>
      </c>
    </row>
    <row r="123">
      <c r="A123" s="8" t="s">
        <v>1155</v>
      </c>
      <c r="B123" s="2" t="s">
        <v>1156</v>
      </c>
      <c r="C123" s="2" t="s">
        <v>1157</v>
      </c>
      <c r="D123" s="8" t="s">
        <v>865</v>
      </c>
    </row>
    <row r="124">
      <c r="A124" s="8" t="s">
        <v>1158</v>
      </c>
      <c r="B124" s="2" t="s">
        <v>1159</v>
      </c>
      <c r="C124" s="2" t="s">
        <v>1160</v>
      </c>
      <c r="D124" s="8" t="s">
        <v>797</v>
      </c>
    </row>
    <row r="125">
      <c r="A125" s="8" t="s">
        <v>1161</v>
      </c>
      <c r="B125" s="2" t="s">
        <v>1162</v>
      </c>
      <c r="C125" s="2" t="s">
        <v>1163</v>
      </c>
      <c r="D125" s="8" t="s">
        <v>787</v>
      </c>
    </row>
    <row r="126">
      <c r="A126" s="8" t="s">
        <v>1164</v>
      </c>
      <c r="B126" s="2" t="s">
        <v>1165</v>
      </c>
      <c r="C126" s="2" t="s">
        <v>1166</v>
      </c>
      <c r="D126" s="8" t="s">
        <v>811</v>
      </c>
    </row>
    <row r="127">
      <c r="A127" s="8" t="s">
        <v>1167</v>
      </c>
      <c r="B127" s="2" t="s">
        <v>1168</v>
      </c>
      <c r="C127" s="2" t="s">
        <v>1169</v>
      </c>
      <c r="D127" s="8" t="s">
        <v>801</v>
      </c>
    </row>
    <row r="128">
      <c r="A128" s="8" t="s">
        <v>1170</v>
      </c>
      <c r="B128" s="2" t="s">
        <v>1171</v>
      </c>
      <c r="C128" s="2" t="s">
        <v>1172</v>
      </c>
      <c r="D128" s="8" t="s">
        <v>797</v>
      </c>
    </row>
    <row r="129">
      <c r="A129" s="8" t="s">
        <v>1173</v>
      </c>
      <c r="B129" s="2" t="s">
        <v>1174</v>
      </c>
      <c r="C129" s="2" t="s">
        <v>1175</v>
      </c>
      <c r="D129" s="8" t="s">
        <v>797</v>
      </c>
    </row>
    <row r="130">
      <c r="A130" s="8" t="s">
        <v>1176</v>
      </c>
      <c r="B130" s="2" t="s">
        <v>1177</v>
      </c>
      <c r="C130" s="2" t="s">
        <v>1178</v>
      </c>
      <c r="D130" s="8" t="s">
        <v>787</v>
      </c>
    </row>
    <row r="131">
      <c r="A131" s="8" t="s">
        <v>1179</v>
      </c>
      <c r="B131" s="2" t="s">
        <v>1180</v>
      </c>
      <c r="C131" s="2" t="s">
        <v>1181</v>
      </c>
      <c r="D131" s="8" t="s">
        <v>787</v>
      </c>
    </row>
    <row r="132">
      <c r="A132" s="8" t="s">
        <v>1182</v>
      </c>
      <c r="B132" s="2" t="s">
        <v>1183</v>
      </c>
      <c r="C132" s="2" t="s">
        <v>1184</v>
      </c>
      <c r="D132" s="8" t="s">
        <v>827</v>
      </c>
    </row>
    <row r="133">
      <c r="A133" s="8" t="s">
        <v>1185</v>
      </c>
      <c r="B133" s="2" t="s">
        <v>1186</v>
      </c>
      <c r="C133" s="2" t="s">
        <v>1187</v>
      </c>
      <c r="D133" s="8" t="s">
        <v>878</v>
      </c>
    </row>
    <row r="134">
      <c r="A134" s="8" t="s">
        <v>1188</v>
      </c>
      <c r="B134" s="2" t="s">
        <v>1189</v>
      </c>
      <c r="C134" s="2" t="s">
        <v>1190</v>
      </c>
      <c r="D134" s="8" t="s">
        <v>827</v>
      </c>
    </row>
    <row r="135">
      <c r="A135" s="8" t="s">
        <v>1191</v>
      </c>
      <c r="B135" s="2" t="s">
        <v>1192</v>
      </c>
      <c r="C135" s="2" t="s">
        <v>1193</v>
      </c>
      <c r="D135" s="8" t="s">
        <v>801</v>
      </c>
    </row>
    <row r="136">
      <c r="A136" s="8" t="s">
        <v>1194</v>
      </c>
      <c r="B136" s="2" t="s">
        <v>1195</v>
      </c>
      <c r="C136" s="2" t="s">
        <v>1196</v>
      </c>
      <c r="D136" s="8" t="s">
        <v>861</v>
      </c>
    </row>
    <row r="137">
      <c r="A137" s="8" t="s">
        <v>1197</v>
      </c>
      <c r="B137" s="2" t="s">
        <v>1198</v>
      </c>
      <c r="C137" s="2" t="s">
        <v>1199</v>
      </c>
      <c r="D137" s="8" t="s">
        <v>811</v>
      </c>
    </row>
    <row r="138">
      <c r="A138" s="8" t="s">
        <v>1200</v>
      </c>
      <c r="B138" s="2" t="s">
        <v>1201</v>
      </c>
      <c r="C138" s="2" t="s">
        <v>1202</v>
      </c>
      <c r="D138" s="8" t="s">
        <v>811</v>
      </c>
    </row>
    <row r="139">
      <c r="A139" s="8" t="s">
        <v>1203</v>
      </c>
      <c r="B139" s="2" t="s">
        <v>1204</v>
      </c>
      <c r="C139" s="2" t="s">
        <v>1205</v>
      </c>
      <c r="D139" s="8" t="s">
        <v>878</v>
      </c>
    </row>
    <row r="140">
      <c r="A140" s="8" t="s">
        <v>1206</v>
      </c>
      <c r="B140" s="2" t="s">
        <v>1207</v>
      </c>
      <c r="C140" s="2" t="s">
        <v>1208</v>
      </c>
      <c r="D140" s="8" t="s">
        <v>811</v>
      </c>
    </row>
    <row r="141">
      <c r="A141" s="8" t="s">
        <v>1209</v>
      </c>
      <c r="B141" s="2" t="s">
        <v>1210</v>
      </c>
      <c r="C141" s="2" t="s">
        <v>1211</v>
      </c>
      <c r="D141" s="8" t="s">
        <v>811</v>
      </c>
    </row>
    <row r="142">
      <c r="A142" s="8" t="s">
        <v>1212</v>
      </c>
      <c r="B142" s="2" t="s">
        <v>1213</v>
      </c>
      <c r="C142" s="2" t="s">
        <v>1214</v>
      </c>
      <c r="D142" s="8" t="s">
        <v>878</v>
      </c>
    </row>
    <row r="143">
      <c r="A143" s="8" t="s">
        <v>1215</v>
      </c>
      <c r="B143" s="2" t="s">
        <v>1216</v>
      </c>
      <c r="C143" s="2" t="s">
        <v>1217</v>
      </c>
      <c r="D143" s="8" t="s">
        <v>878</v>
      </c>
    </row>
    <row r="144">
      <c r="A144" s="8" t="s">
        <v>1218</v>
      </c>
      <c r="B144" s="2" t="s">
        <v>1219</v>
      </c>
      <c r="C144" s="2" t="s">
        <v>1220</v>
      </c>
      <c r="D144" s="8" t="s">
        <v>787</v>
      </c>
    </row>
    <row r="145">
      <c r="A145" s="8" t="s">
        <v>1221</v>
      </c>
      <c r="B145" s="2" t="s">
        <v>1222</v>
      </c>
      <c r="C145" s="2" t="s">
        <v>1223</v>
      </c>
      <c r="D145" s="8" t="s">
        <v>811</v>
      </c>
    </row>
    <row r="146">
      <c r="A146" s="8" t="s">
        <v>1224</v>
      </c>
      <c r="B146" s="2" t="s">
        <v>1225</v>
      </c>
      <c r="C146" s="2" t="s">
        <v>1226</v>
      </c>
      <c r="D146" s="8" t="s">
        <v>787</v>
      </c>
    </row>
    <row r="147">
      <c r="A147" s="8" t="s">
        <v>1227</v>
      </c>
      <c r="B147" s="2" t="s">
        <v>1228</v>
      </c>
      <c r="C147" s="2" t="s">
        <v>1229</v>
      </c>
      <c r="D147" s="8" t="s">
        <v>861</v>
      </c>
    </row>
    <row r="148">
      <c r="A148" s="8" t="s">
        <v>1230</v>
      </c>
      <c r="B148" s="2" t="s">
        <v>1231</v>
      </c>
      <c r="C148" s="2" t="s">
        <v>1232</v>
      </c>
      <c r="D148" s="8" t="s">
        <v>811</v>
      </c>
    </row>
    <row r="149">
      <c r="A149" s="8" t="s">
        <v>1233</v>
      </c>
      <c r="B149" s="2" t="s">
        <v>1234</v>
      </c>
      <c r="C149" s="2" t="s">
        <v>1235</v>
      </c>
      <c r="D149" s="8" t="s">
        <v>787</v>
      </c>
    </row>
    <row r="150">
      <c r="A150" s="8" t="s">
        <v>1236</v>
      </c>
      <c r="B150" s="2" t="s">
        <v>1237</v>
      </c>
      <c r="C150" s="2" t="s">
        <v>1238</v>
      </c>
      <c r="D150" s="8" t="s">
        <v>787</v>
      </c>
    </row>
    <row r="151">
      <c r="A151" s="8" t="s">
        <v>1239</v>
      </c>
      <c r="B151" s="2" t="s">
        <v>1240</v>
      </c>
      <c r="C151" s="2" t="s">
        <v>1241</v>
      </c>
      <c r="D151" s="8" t="s">
        <v>878</v>
      </c>
    </row>
    <row r="152">
      <c r="A152" s="8" t="s">
        <v>1242</v>
      </c>
      <c r="B152" s="2" t="s">
        <v>1243</v>
      </c>
      <c r="C152" s="2" t="s">
        <v>1244</v>
      </c>
      <c r="D152" s="8" t="s">
        <v>801</v>
      </c>
    </row>
    <row r="153">
      <c r="A153" s="8" t="s">
        <v>1245</v>
      </c>
      <c r="B153" s="2" t="s">
        <v>1246</v>
      </c>
      <c r="C153" s="2" t="s">
        <v>1247</v>
      </c>
      <c r="D153" s="8" t="s">
        <v>797</v>
      </c>
    </row>
    <row r="154">
      <c r="A154" s="8" t="s">
        <v>1248</v>
      </c>
      <c r="B154" s="2" t="s">
        <v>1249</v>
      </c>
      <c r="C154" s="2" t="s">
        <v>1250</v>
      </c>
      <c r="D154" s="8" t="s">
        <v>811</v>
      </c>
    </row>
    <row r="155">
      <c r="A155" s="8" t="s">
        <v>1251</v>
      </c>
      <c r="B155" s="2" t="s">
        <v>1252</v>
      </c>
      <c r="C155" s="2" t="s">
        <v>1253</v>
      </c>
      <c r="D155" s="8" t="s">
        <v>811</v>
      </c>
    </row>
    <row r="156">
      <c r="A156" s="8" t="s">
        <v>1254</v>
      </c>
      <c r="B156" s="2" t="s">
        <v>1255</v>
      </c>
      <c r="C156" s="2" t="s">
        <v>1256</v>
      </c>
      <c r="D156" s="8" t="s">
        <v>801</v>
      </c>
    </row>
    <row r="157">
      <c r="A157" s="8" t="s">
        <v>1257</v>
      </c>
      <c r="B157" s="2" t="s">
        <v>1258</v>
      </c>
      <c r="C157" s="2" t="s">
        <v>1259</v>
      </c>
      <c r="D157" s="8" t="s">
        <v>797</v>
      </c>
    </row>
    <row r="158">
      <c r="A158" s="8" t="s">
        <v>1260</v>
      </c>
      <c r="B158" s="2" t="s">
        <v>1261</v>
      </c>
      <c r="C158" s="2" t="s">
        <v>1262</v>
      </c>
      <c r="D158" s="8" t="s">
        <v>801</v>
      </c>
    </row>
    <row r="159">
      <c r="A159" s="8" t="s">
        <v>1263</v>
      </c>
      <c r="B159" s="2" t="s">
        <v>1264</v>
      </c>
      <c r="C159" s="2" t="s">
        <v>1265</v>
      </c>
      <c r="D159" s="8" t="s">
        <v>827</v>
      </c>
    </row>
    <row r="160">
      <c r="A160" s="8" t="s">
        <v>1266</v>
      </c>
      <c r="B160" s="2" t="s">
        <v>1267</v>
      </c>
      <c r="C160" s="2" t="s">
        <v>1268</v>
      </c>
      <c r="D160" s="8" t="s">
        <v>878</v>
      </c>
    </row>
    <row r="161">
      <c r="A161" s="8" t="s">
        <v>1269</v>
      </c>
      <c r="B161" s="2" t="s">
        <v>1270</v>
      </c>
      <c r="C161" s="2" t="s">
        <v>1271</v>
      </c>
      <c r="D161" s="8" t="s">
        <v>878</v>
      </c>
    </row>
    <row r="162">
      <c r="A162" s="8" t="s">
        <v>1272</v>
      </c>
      <c r="B162" s="2" t="s">
        <v>1273</v>
      </c>
      <c r="C162" s="2" t="s">
        <v>1274</v>
      </c>
      <c r="D162" s="8" t="s">
        <v>878</v>
      </c>
    </row>
    <row r="163">
      <c r="A163" s="8" t="s">
        <v>1275</v>
      </c>
      <c r="B163" s="2" t="s">
        <v>1276</v>
      </c>
      <c r="C163" s="2" t="s">
        <v>1277</v>
      </c>
      <c r="D163" s="8" t="s">
        <v>797</v>
      </c>
    </row>
    <row r="164">
      <c r="A164" s="8" t="s">
        <v>1278</v>
      </c>
      <c r="B164" s="2" t="s">
        <v>1279</v>
      </c>
      <c r="C164" s="2" t="s">
        <v>1280</v>
      </c>
      <c r="D164" s="8" t="s">
        <v>827</v>
      </c>
    </row>
    <row r="165">
      <c r="A165" s="8" t="s">
        <v>1281</v>
      </c>
      <c r="B165" s="2" t="s">
        <v>1282</v>
      </c>
      <c r="C165" s="2" t="s">
        <v>1283</v>
      </c>
      <c r="D165" s="8" t="s">
        <v>811</v>
      </c>
    </row>
    <row r="166">
      <c r="A166" s="8" t="s">
        <v>1284</v>
      </c>
      <c r="B166" s="2" t="s">
        <v>1285</v>
      </c>
      <c r="C166" s="2" t="s">
        <v>1286</v>
      </c>
      <c r="D166" s="8" t="s">
        <v>787</v>
      </c>
    </row>
    <row r="167">
      <c r="A167" s="8" t="s">
        <v>1287</v>
      </c>
      <c r="B167" s="2" t="s">
        <v>1288</v>
      </c>
      <c r="C167" s="2" t="s">
        <v>1289</v>
      </c>
      <c r="D167" s="8" t="s">
        <v>827</v>
      </c>
    </row>
    <row r="168">
      <c r="A168" s="8" t="s">
        <v>1290</v>
      </c>
      <c r="B168" s="2" t="s">
        <v>1291</v>
      </c>
      <c r="C168" s="2" t="s">
        <v>1292</v>
      </c>
      <c r="D168" s="8" t="s">
        <v>801</v>
      </c>
    </row>
    <row r="169">
      <c r="A169" s="8" t="s">
        <v>1293</v>
      </c>
      <c r="B169" s="2" t="s">
        <v>1294</v>
      </c>
      <c r="C169" s="2" t="s">
        <v>1295</v>
      </c>
      <c r="D169" s="8" t="s">
        <v>787</v>
      </c>
    </row>
    <row r="170">
      <c r="A170" s="8" t="s">
        <v>1296</v>
      </c>
      <c r="B170" s="2" t="s">
        <v>1297</v>
      </c>
      <c r="C170" s="2" t="s">
        <v>1298</v>
      </c>
      <c r="D170" s="8" t="s">
        <v>861</v>
      </c>
    </row>
    <row r="171">
      <c r="A171" s="8" t="s">
        <v>1299</v>
      </c>
      <c r="B171" s="2" t="s">
        <v>1300</v>
      </c>
      <c r="C171" s="2" t="s">
        <v>1301</v>
      </c>
      <c r="D171" s="8" t="s">
        <v>797</v>
      </c>
    </row>
    <row r="172">
      <c r="A172" s="8" t="s">
        <v>1302</v>
      </c>
      <c r="B172" s="2" t="s">
        <v>1303</v>
      </c>
      <c r="C172" s="2" t="s">
        <v>1304</v>
      </c>
      <c r="D172" s="8" t="s">
        <v>865</v>
      </c>
    </row>
    <row r="173">
      <c r="A173" s="8" t="s">
        <v>1305</v>
      </c>
      <c r="B173" s="2" t="s">
        <v>1306</v>
      </c>
      <c r="C173" s="2" t="s">
        <v>1307</v>
      </c>
      <c r="D173" s="8" t="s">
        <v>811</v>
      </c>
    </row>
    <row r="174">
      <c r="A174" s="8" t="s">
        <v>1308</v>
      </c>
      <c r="B174" s="2" t="s">
        <v>1309</v>
      </c>
      <c r="C174" s="2" t="s">
        <v>1310</v>
      </c>
      <c r="D174" s="8" t="s">
        <v>787</v>
      </c>
    </row>
    <row r="175">
      <c r="A175" s="8" t="s">
        <v>1311</v>
      </c>
      <c r="B175" s="2" t="s">
        <v>1312</v>
      </c>
      <c r="C175" s="2" t="s">
        <v>1313</v>
      </c>
      <c r="D175" s="8" t="s">
        <v>797</v>
      </c>
    </row>
    <row r="176">
      <c r="A176" s="8" t="s">
        <v>1314</v>
      </c>
      <c r="B176" s="2" t="s">
        <v>1315</v>
      </c>
      <c r="C176" s="2" t="s">
        <v>1316</v>
      </c>
      <c r="D176" s="8" t="s">
        <v>787</v>
      </c>
    </row>
    <row r="177">
      <c r="A177" s="8" t="s">
        <v>1317</v>
      </c>
      <c r="B177" s="2" t="s">
        <v>1318</v>
      </c>
      <c r="C177" s="2" t="s">
        <v>1319</v>
      </c>
      <c r="D177" s="8" t="s">
        <v>787</v>
      </c>
    </row>
    <row r="178">
      <c r="A178" s="8" t="s">
        <v>1320</v>
      </c>
      <c r="B178" s="2" t="s">
        <v>1321</v>
      </c>
      <c r="C178" s="2" t="s">
        <v>1322</v>
      </c>
      <c r="D178" s="8" t="s">
        <v>787</v>
      </c>
    </row>
    <row r="179">
      <c r="A179" s="8" t="s">
        <v>1323</v>
      </c>
      <c r="B179" s="2" t="s">
        <v>1324</v>
      </c>
      <c r="C179" s="2" t="s">
        <v>1325</v>
      </c>
      <c r="D179" s="8" t="s">
        <v>811</v>
      </c>
    </row>
    <row r="180">
      <c r="A180" s="8" t="s">
        <v>1326</v>
      </c>
      <c r="B180" s="2" t="s">
        <v>1327</v>
      </c>
      <c r="C180" s="2" t="s">
        <v>1328</v>
      </c>
      <c r="D180" s="8" t="s">
        <v>811</v>
      </c>
    </row>
    <row r="181">
      <c r="A181" s="8" t="s">
        <v>1329</v>
      </c>
      <c r="B181" s="2" t="s">
        <v>1330</v>
      </c>
      <c r="C181" s="2" t="s">
        <v>1331</v>
      </c>
      <c r="D181" s="8" t="s">
        <v>811</v>
      </c>
    </row>
    <row r="182">
      <c r="A182" s="8" t="s">
        <v>1332</v>
      </c>
      <c r="B182" s="2" t="s">
        <v>1333</v>
      </c>
      <c r="C182" s="2" t="s">
        <v>1334</v>
      </c>
      <c r="D182" s="8" t="s">
        <v>801</v>
      </c>
    </row>
    <row r="183">
      <c r="A183" s="8" t="s">
        <v>1335</v>
      </c>
      <c r="B183" s="2" t="s">
        <v>1336</v>
      </c>
      <c r="C183" s="2" t="s">
        <v>1337</v>
      </c>
      <c r="D183" s="8" t="s">
        <v>878</v>
      </c>
    </row>
    <row r="184">
      <c r="A184" s="8" t="s">
        <v>1338</v>
      </c>
      <c r="B184" s="2" t="s">
        <v>1339</v>
      </c>
      <c r="C184" s="2" t="s">
        <v>1340</v>
      </c>
      <c r="D184" s="8" t="s">
        <v>811</v>
      </c>
    </row>
    <row r="185">
      <c r="A185" s="8" t="s">
        <v>1341</v>
      </c>
      <c r="B185" s="2" t="s">
        <v>1342</v>
      </c>
      <c r="C185" s="2" t="s">
        <v>1343</v>
      </c>
      <c r="D185" s="8" t="s">
        <v>801</v>
      </c>
    </row>
    <row r="186">
      <c r="A186" s="8" t="s">
        <v>1344</v>
      </c>
      <c r="B186" s="2" t="s">
        <v>1345</v>
      </c>
      <c r="C186" s="2" t="s">
        <v>1346</v>
      </c>
      <c r="D186" s="8" t="s">
        <v>801</v>
      </c>
    </row>
    <row r="187">
      <c r="A187" s="8" t="s">
        <v>1347</v>
      </c>
      <c r="B187" s="2" t="s">
        <v>1348</v>
      </c>
      <c r="C187" s="2" t="s">
        <v>1349</v>
      </c>
      <c r="D187" s="8" t="s">
        <v>797</v>
      </c>
    </row>
    <row r="188">
      <c r="A188" s="8" t="s">
        <v>1350</v>
      </c>
      <c r="B188" s="2" t="s">
        <v>1351</v>
      </c>
      <c r="C188" s="2" t="s">
        <v>1352</v>
      </c>
      <c r="D188" s="8" t="s">
        <v>811</v>
      </c>
    </row>
    <row r="189">
      <c r="A189" s="8" t="s">
        <v>1353</v>
      </c>
      <c r="B189" s="2" t="s">
        <v>1354</v>
      </c>
      <c r="C189" s="2" t="s">
        <v>1355</v>
      </c>
      <c r="D189" s="8" t="s">
        <v>878</v>
      </c>
    </row>
    <row r="190">
      <c r="A190" s="8" t="s">
        <v>1356</v>
      </c>
      <c r="B190" s="2" t="s">
        <v>1357</v>
      </c>
      <c r="C190" s="2" t="s">
        <v>1358</v>
      </c>
      <c r="D190" s="8" t="s">
        <v>797</v>
      </c>
    </row>
    <row r="191">
      <c r="A191" s="8" t="s">
        <v>1359</v>
      </c>
      <c r="B191" s="2" t="s">
        <v>1360</v>
      </c>
      <c r="C191" s="2" t="s">
        <v>1361</v>
      </c>
      <c r="D191" s="8" t="s">
        <v>811</v>
      </c>
    </row>
    <row r="192">
      <c r="A192" s="8" t="s">
        <v>1362</v>
      </c>
      <c r="B192" s="2" t="s">
        <v>1363</v>
      </c>
      <c r="C192" s="2" t="s">
        <v>1364</v>
      </c>
      <c r="D192" s="8" t="s">
        <v>811</v>
      </c>
    </row>
    <row r="193">
      <c r="A193" s="8" t="s">
        <v>1365</v>
      </c>
      <c r="B193" s="2" t="s">
        <v>1366</v>
      </c>
      <c r="C193" s="2" t="s">
        <v>1367</v>
      </c>
      <c r="D193" s="8" t="s">
        <v>861</v>
      </c>
    </row>
    <row r="194">
      <c r="A194" s="8" t="s">
        <v>1368</v>
      </c>
      <c r="B194" s="2" t="s">
        <v>1369</v>
      </c>
      <c r="C194" s="2" t="s">
        <v>1370</v>
      </c>
      <c r="D194" s="8" t="s">
        <v>827</v>
      </c>
    </row>
    <row r="195">
      <c r="A195" s="8" t="s">
        <v>1371</v>
      </c>
      <c r="B195" s="2" t="s">
        <v>1372</v>
      </c>
      <c r="C195" s="2" t="s">
        <v>1373</v>
      </c>
      <c r="D195" s="8" t="s">
        <v>787</v>
      </c>
    </row>
    <row r="196">
      <c r="A196" s="8" t="s">
        <v>1374</v>
      </c>
      <c r="B196" s="2" t="s">
        <v>1375</v>
      </c>
      <c r="C196" s="2" t="s">
        <v>1376</v>
      </c>
      <c r="D196" s="8" t="s">
        <v>811</v>
      </c>
    </row>
    <row r="197">
      <c r="A197" s="8" t="s">
        <v>1377</v>
      </c>
      <c r="B197" s="2" t="s">
        <v>1378</v>
      </c>
      <c r="C197" s="2" t="s">
        <v>1379</v>
      </c>
      <c r="D197" s="8" t="s">
        <v>801</v>
      </c>
    </row>
    <row r="198">
      <c r="A198" s="8" t="s">
        <v>1380</v>
      </c>
      <c r="B198" s="2" t="s">
        <v>1381</v>
      </c>
      <c r="C198" s="2" t="s">
        <v>1382</v>
      </c>
      <c r="D198" s="8" t="s">
        <v>827</v>
      </c>
    </row>
    <row r="199">
      <c r="A199" s="8" t="s">
        <v>1383</v>
      </c>
      <c r="B199" s="2" t="s">
        <v>1384</v>
      </c>
      <c r="C199" s="2" t="s">
        <v>1385</v>
      </c>
      <c r="D199" s="8" t="s">
        <v>801</v>
      </c>
    </row>
    <row r="200">
      <c r="A200" s="8" t="s">
        <v>1386</v>
      </c>
      <c r="B200" s="2" t="s">
        <v>1387</v>
      </c>
      <c r="C200" s="2" t="s">
        <v>1388</v>
      </c>
      <c r="D200" s="8" t="s">
        <v>801</v>
      </c>
    </row>
    <row r="201">
      <c r="A201" s="8" t="s">
        <v>1389</v>
      </c>
      <c r="B201" s="2" t="s">
        <v>1390</v>
      </c>
      <c r="C201" s="2" t="s">
        <v>1391</v>
      </c>
      <c r="D201" s="8" t="s">
        <v>801</v>
      </c>
    </row>
    <row r="202">
      <c r="A202" s="8" t="s">
        <v>1392</v>
      </c>
      <c r="B202" s="2" t="s">
        <v>1393</v>
      </c>
      <c r="C202" s="2" t="s">
        <v>1394</v>
      </c>
      <c r="D202" s="8" t="s">
        <v>811</v>
      </c>
    </row>
    <row r="203">
      <c r="A203" s="8" t="s">
        <v>1395</v>
      </c>
      <c r="B203" s="2" t="s">
        <v>1396</v>
      </c>
      <c r="C203" s="2" t="s">
        <v>1397</v>
      </c>
      <c r="D203" s="8" t="s">
        <v>797</v>
      </c>
    </row>
    <row r="204">
      <c r="A204" s="8" t="s">
        <v>1398</v>
      </c>
      <c r="B204" s="2" t="s">
        <v>1399</v>
      </c>
      <c r="C204" s="2" t="s">
        <v>1400</v>
      </c>
      <c r="D204" s="8" t="s">
        <v>801</v>
      </c>
    </row>
    <row r="205">
      <c r="A205" s="8" t="s">
        <v>1401</v>
      </c>
      <c r="B205" s="2" t="s">
        <v>1402</v>
      </c>
      <c r="C205" s="2" t="s">
        <v>1403</v>
      </c>
      <c r="D205" s="8" t="s">
        <v>811</v>
      </c>
    </row>
    <row r="206">
      <c r="A206" s="8" t="s">
        <v>1404</v>
      </c>
      <c r="B206" s="2" t="s">
        <v>1405</v>
      </c>
      <c r="C206" s="2" t="s">
        <v>1406</v>
      </c>
      <c r="D206" s="8" t="s">
        <v>797</v>
      </c>
    </row>
    <row r="207">
      <c r="A207" s="8" t="s">
        <v>1407</v>
      </c>
      <c r="B207" s="2" t="s">
        <v>1408</v>
      </c>
      <c r="C207" s="2" t="s">
        <v>1409</v>
      </c>
      <c r="D207" s="8" t="s">
        <v>865</v>
      </c>
    </row>
    <row r="208">
      <c r="A208" s="8" t="s">
        <v>1410</v>
      </c>
      <c r="B208" s="2" t="s">
        <v>1411</v>
      </c>
      <c r="C208" s="2" t="s">
        <v>1412</v>
      </c>
      <c r="D208" s="8" t="s">
        <v>827</v>
      </c>
    </row>
    <row r="209">
      <c r="A209" s="8" t="s">
        <v>1413</v>
      </c>
      <c r="B209" s="2" t="s">
        <v>1414</v>
      </c>
      <c r="C209" s="2" t="s">
        <v>1415</v>
      </c>
      <c r="D209" s="8" t="s">
        <v>797</v>
      </c>
    </row>
    <row r="210">
      <c r="A210" s="8" t="s">
        <v>1416</v>
      </c>
      <c r="B210" s="2" t="s">
        <v>1417</v>
      </c>
      <c r="C210" s="2" t="s">
        <v>1418</v>
      </c>
      <c r="D210" s="8" t="s">
        <v>801</v>
      </c>
    </row>
    <row r="211">
      <c r="A211" s="8" t="s">
        <v>1419</v>
      </c>
      <c r="B211" s="2" t="s">
        <v>1420</v>
      </c>
      <c r="C211" s="2" t="s">
        <v>1421</v>
      </c>
      <c r="D211" s="8" t="s">
        <v>811</v>
      </c>
    </row>
    <row r="212">
      <c r="A212" s="8" t="s">
        <v>1422</v>
      </c>
      <c r="B212" s="2" t="s">
        <v>1423</v>
      </c>
      <c r="C212" s="2" t="s">
        <v>1424</v>
      </c>
      <c r="D212" s="8" t="s">
        <v>827</v>
      </c>
    </row>
    <row r="213">
      <c r="A213" s="8" t="s">
        <v>1425</v>
      </c>
      <c r="B213" s="2" t="s">
        <v>1426</v>
      </c>
      <c r="C213" s="2" t="s">
        <v>1427</v>
      </c>
      <c r="D213" s="8" t="s">
        <v>865</v>
      </c>
    </row>
    <row r="214">
      <c r="A214" s="8" t="s">
        <v>1428</v>
      </c>
      <c r="B214" s="2" t="s">
        <v>1429</v>
      </c>
      <c r="C214" s="2" t="s">
        <v>1430</v>
      </c>
      <c r="D214" s="8" t="s">
        <v>811</v>
      </c>
    </row>
    <row r="215">
      <c r="A215" s="8" t="s">
        <v>1431</v>
      </c>
      <c r="B215" s="2" t="s">
        <v>1432</v>
      </c>
      <c r="C215" s="2" t="s">
        <v>1433</v>
      </c>
      <c r="D215" s="8" t="s">
        <v>878</v>
      </c>
    </row>
    <row r="216">
      <c r="A216" s="8" t="s">
        <v>1434</v>
      </c>
      <c r="B216" s="2" t="s">
        <v>1435</v>
      </c>
      <c r="C216" s="2" t="s">
        <v>1436</v>
      </c>
      <c r="D216" s="8" t="s">
        <v>801</v>
      </c>
    </row>
    <row r="217">
      <c r="A217" s="8" t="s">
        <v>1437</v>
      </c>
      <c r="B217" s="2" t="s">
        <v>1438</v>
      </c>
      <c r="C217" s="2" t="s">
        <v>1439</v>
      </c>
      <c r="D217" s="8" t="s">
        <v>787</v>
      </c>
    </row>
    <row r="218">
      <c r="A218" s="8" t="s">
        <v>1440</v>
      </c>
      <c r="B218" s="2" t="s">
        <v>1441</v>
      </c>
      <c r="C218" s="2" t="s">
        <v>1442</v>
      </c>
      <c r="D218" s="8" t="s">
        <v>865</v>
      </c>
    </row>
    <row r="219">
      <c r="A219" s="8" t="s">
        <v>1443</v>
      </c>
      <c r="B219" s="2" t="s">
        <v>1444</v>
      </c>
      <c r="C219" s="2" t="s">
        <v>1445</v>
      </c>
      <c r="D219" s="8" t="s">
        <v>787</v>
      </c>
    </row>
    <row r="220">
      <c r="A220" s="8" t="s">
        <v>1446</v>
      </c>
      <c r="B220" s="2" t="s">
        <v>1447</v>
      </c>
      <c r="C220" s="2" t="s">
        <v>1448</v>
      </c>
      <c r="D220" s="8" t="s">
        <v>878</v>
      </c>
    </row>
    <row r="221">
      <c r="A221" s="8" t="s">
        <v>1449</v>
      </c>
      <c r="B221" s="2" t="s">
        <v>1450</v>
      </c>
      <c r="C221" s="2" t="s">
        <v>1451</v>
      </c>
      <c r="D221" s="8" t="s">
        <v>801</v>
      </c>
    </row>
    <row r="222">
      <c r="A222" s="8" t="s">
        <v>1452</v>
      </c>
      <c r="B222" s="2" t="s">
        <v>1453</v>
      </c>
      <c r="C222" s="2" t="s">
        <v>1454</v>
      </c>
      <c r="D222" s="8" t="s">
        <v>861</v>
      </c>
    </row>
    <row r="223">
      <c r="A223" s="8" t="s">
        <v>1455</v>
      </c>
      <c r="B223" s="2" t="s">
        <v>1456</v>
      </c>
      <c r="C223" s="2" t="s">
        <v>1457</v>
      </c>
      <c r="D223" s="8" t="s">
        <v>787</v>
      </c>
    </row>
    <row r="224">
      <c r="A224" s="8" t="s">
        <v>1458</v>
      </c>
      <c r="B224" s="2" t="s">
        <v>1459</v>
      </c>
      <c r="C224" s="2" t="s">
        <v>1460</v>
      </c>
      <c r="D224" s="8" t="s">
        <v>865</v>
      </c>
    </row>
    <row r="225">
      <c r="A225" s="8" t="s">
        <v>1461</v>
      </c>
      <c r="B225" s="2" t="s">
        <v>1462</v>
      </c>
      <c r="C225" s="2" t="s">
        <v>1463</v>
      </c>
      <c r="D225" s="8" t="s">
        <v>811</v>
      </c>
    </row>
    <row r="226">
      <c r="A226" s="8" t="s">
        <v>1464</v>
      </c>
      <c r="B226" s="2" t="s">
        <v>1465</v>
      </c>
      <c r="C226" s="2" t="s">
        <v>1466</v>
      </c>
      <c r="D226" s="8" t="s">
        <v>787</v>
      </c>
    </row>
    <row r="227">
      <c r="A227" s="8" t="s">
        <v>1467</v>
      </c>
      <c r="B227" s="2" t="s">
        <v>1468</v>
      </c>
      <c r="C227" s="2" t="s">
        <v>1469</v>
      </c>
      <c r="D227" s="8" t="s">
        <v>787</v>
      </c>
    </row>
    <row r="228">
      <c r="A228" s="8" t="s">
        <v>1470</v>
      </c>
      <c r="B228" s="2" t="s">
        <v>1471</v>
      </c>
      <c r="C228" s="2" t="s">
        <v>1472</v>
      </c>
      <c r="D228" s="8" t="s">
        <v>827</v>
      </c>
    </row>
    <row r="229">
      <c r="A229" s="8" t="s">
        <v>1473</v>
      </c>
      <c r="B229" s="2" t="s">
        <v>1474</v>
      </c>
      <c r="C229" s="2" t="s">
        <v>1475</v>
      </c>
      <c r="D229" s="8" t="s">
        <v>797</v>
      </c>
    </row>
    <row r="230">
      <c r="A230" s="8" t="s">
        <v>1476</v>
      </c>
      <c r="B230" s="2" t="s">
        <v>1477</v>
      </c>
      <c r="C230" s="2" t="s">
        <v>1478</v>
      </c>
      <c r="D230" s="8" t="s">
        <v>811</v>
      </c>
    </row>
    <row r="231">
      <c r="A231" s="8" t="s">
        <v>1479</v>
      </c>
      <c r="B231" s="2" t="s">
        <v>1480</v>
      </c>
      <c r="C231" s="2" t="s">
        <v>1481</v>
      </c>
      <c r="D231" s="8" t="s">
        <v>787</v>
      </c>
    </row>
    <row r="232">
      <c r="A232" s="8" t="s">
        <v>1482</v>
      </c>
      <c r="B232" s="2" t="s">
        <v>1483</v>
      </c>
      <c r="C232" s="2" t="s">
        <v>1484</v>
      </c>
      <c r="D232" s="8" t="s">
        <v>878</v>
      </c>
    </row>
    <row r="233">
      <c r="A233" s="8" t="s">
        <v>1485</v>
      </c>
      <c r="B233" s="2" t="s">
        <v>1486</v>
      </c>
      <c r="C233" s="2" t="s">
        <v>1487</v>
      </c>
      <c r="D233" s="8" t="s">
        <v>797</v>
      </c>
    </row>
    <row r="234">
      <c r="A234" s="8" t="s">
        <v>1488</v>
      </c>
      <c r="B234" s="2" t="s">
        <v>1489</v>
      </c>
      <c r="C234" s="2" t="s">
        <v>1490</v>
      </c>
      <c r="D234" s="8" t="s">
        <v>878</v>
      </c>
    </row>
    <row r="235">
      <c r="A235" s="8" t="s">
        <v>1491</v>
      </c>
      <c r="B235" s="2" t="s">
        <v>1492</v>
      </c>
      <c r="C235" s="2" t="s">
        <v>1493</v>
      </c>
      <c r="D235" s="8" t="s">
        <v>801</v>
      </c>
    </row>
    <row r="236">
      <c r="A236" s="8" t="s">
        <v>1494</v>
      </c>
      <c r="B236" s="2" t="s">
        <v>1495</v>
      </c>
      <c r="C236" s="2" t="s">
        <v>1496</v>
      </c>
      <c r="D236" s="8" t="s">
        <v>811</v>
      </c>
    </row>
    <row r="237">
      <c r="A237" s="8" t="s">
        <v>1497</v>
      </c>
      <c r="B237" s="2" t="s">
        <v>1498</v>
      </c>
      <c r="C237" s="2" t="s">
        <v>1499</v>
      </c>
      <c r="D237" s="8" t="s">
        <v>827</v>
      </c>
    </row>
    <row r="238">
      <c r="A238" s="8" t="s">
        <v>1500</v>
      </c>
      <c r="B238" s="2" t="s">
        <v>1501</v>
      </c>
      <c r="C238" s="2" t="s">
        <v>1502</v>
      </c>
      <c r="D238" s="8" t="s">
        <v>801</v>
      </c>
    </row>
    <row r="239">
      <c r="A239" s="8" t="s">
        <v>1503</v>
      </c>
      <c r="B239" s="2" t="s">
        <v>1504</v>
      </c>
      <c r="C239" s="2" t="s">
        <v>1505</v>
      </c>
      <c r="D239" s="8" t="s">
        <v>801</v>
      </c>
    </row>
    <row r="240">
      <c r="A240" s="8" t="s">
        <v>1506</v>
      </c>
      <c r="B240" s="2" t="s">
        <v>1507</v>
      </c>
      <c r="C240" s="2" t="s">
        <v>1508</v>
      </c>
      <c r="D240" s="8" t="s">
        <v>787</v>
      </c>
    </row>
    <row r="241">
      <c r="A241" s="8" t="s">
        <v>1509</v>
      </c>
      <c r="B241" s="2" t="s">
        <v>1510</v>
      </c>
      <c r="C241" s="2" t="s">
        <v>1511</v>
      </c>
      <c r="D241" s="8" t="s">
        <v>861</v>
      </c>
    </row>
    <row r="242">
      <c r="A242" s="8" t="s">
        <v>1512</v>
      </c>
      <c r="B242" s="2" t="s">
        <v>1513</v>
      </c>
      <c r="C242" s="2" t="s">
        <v>1514</v>
      </c>
      <c r="D242" s="8" t="s">
        <v>811</v>
      </c>
    </row>
    <row r="243">
      <c r="A243" s="8" t="s">
        <v>1515</v>
      </c>
      <c r="B243" s="2" t="s">
        <v>1516</v>
      </c>
      <c r="C243" s="2" t="s">
        <v>1517</v>
      </c>
      <c r="D243" s="8" t="s">
        <v>811</v>
      </c>
    </row>
    <row r="244">
      <c r="A244" s="8" t="s">
        <v>1518</v>
      </c>
      <c r="B244" s="2" t="s">
        <v>1519</v>
      </c>
      <c r="C244" s="2" t="s">
        <v>1520</v>
      </c>
      <c r="D244" s="8" t="s">
        <v>797</v>
      </c>
    </row>
    <row r="245">
      <c r="A245" s="8" t="s">
        <v>1521</v>
      </c>
      <c r="B245" s="2" t="s">
        <v>1522</v>
      </c>
      <c r="C245" s="2" t="s">
        <v>1523</v>
      </c>
      <c r="D245" s="8" t="s">
        <v>861</v>
      </c>
    </row>
    <row r="246">
      <c r="A246" s="8" t="s">
        <v>1524</v>
      </c>
      <c r="B246" s="2" t="s">
        <v>1525</v>
      </c>
      <c r="C246" s="2" t="s">
        <v>1526</v>
      </c>
      <c r="D246" s="8" t="s">
        <v>787</v>
      </c>
    </row>
    <row r="247">
      <c r="A247" s="8" t="s">
        <v>1527</v>
      </c>
      <c r="B247" s="2" t="s">
        <v>1528</v>
      </c>
      <c r="C247" s="2" t="s">
        <v>1529</v>
      </c>
      <c r="D247" s="8" t="s">
        <v>861</v>
      </c>
    </row>
    <row r="248">
      <c r="A248" s="8" t="s">
        <v>1530</v>
      </c>
      <c r="B248" s="2" t="s">
        <v>1531</v>
      </c>
      <c r="C248" s="2" t="s">
        <v>1532</v>
      </c>
      <c r="D248" s="8" t="s">
        <v>861</v>
      </c>
    </row>
    <row r="249">
      <c r="A249" s="8" t="s">
        <v>1533</v>
      </c>
      <c r="B249" s="2" t="s">
        <v>1534</v>
      </c>
      <c r="C249" s="2" t="s">
        <v>1535</v>
      </c>
      <c r="D249" s="8" t="s">
        <v>865</v>
      </c>
    </row>
    <row r="250">
      <c r="A250" s="8" t="s">
        <v>1536</v>
      </c>
      <c r="B250" s="2" t="s">
        <v>1537</v>
      </c>
      <c r="C250" s="2" t="s">
        <v>1538</v>
      </c>
      <c r="D250" s="8" t="s">
        <v>861</v>
      </c>
    </row>
    <row r="251">
      <c r="A251" s="8" t="s">
        <v>1539</v>
      </c>
      <c r="B251" s="2" t="s">
        <v>1540</v>
      </c>
      <c r="C251" s="2" t="s">
        <v>1541</v>
      </c>
      <c r="D251" s="8" t="s">
        <v>861</v>
      </c>
    </row>
    <row r="252">
      <c r="A252" s="8" t="s">
        <v>1542</v>
      </c>
      <c r="B252" s="2" t="s">
        <v>1543</v>
      </c>
      <c r="C252" s="2" t="s">
        <v>1544</v>
      </c>
      <c r="D252" s="8" t="s">
        <v>787</v>
      </c>
    </row>
    <row r="253">
      <c r="A253" s="8" t="s">
        <v>1545</v>
      </c>
      <c r="B253" s="2" t="s">
        <v>1546</v>
      </c>
      <c r="C253" s="2" t="s">
        <v>1547</v>
      </c>
      <c r="D253" s="8" t="s">
        <v>878</v>
      </c>
    </row>
    <row r="254">
      <c r="A254" s="8" t="s">
        <v>1548</v>
      </c>
      <c r="B254" s="2" t="s">
        <v>1549</v>
      </c>
      <c r="C254" s="2" t="s">
        <v>1550</v>
      </c>
      <c r="D254" s="8" t="s">
        <v>878</v>
      </c>
    </row>
    <row r="255">
      <c r="A255" s="8" t="s">
        <v>1551</v>
      </c>
      <c r="B255" s="2" t="s">
        <v>1552</v>
      </c>
      <c r="C255" s="2" t="s">
        <v>1553</v>
      </c>
      <c r="D255" s="8" t="s">
        <v>801</v>
      </c>
    </row>
    <row r="256">
      <c r="A256" s="8" t="s">
        <v>1554</v>
      </c>
      <c r="B256" s="2" t="s">
        <v>1555</v>
      </c>
      <c r="C256" s="2" t="s">
        <v>1556</v>
      </c>
      <c r="D256" s="8" t="s">
        <v>865</v>
      </c>
    </row>
    <row r="257">
      <c r="A257" s="8" t="s">
        <v>1557</v>
      </c>
      <c r="B257" s="2" t="s">
        <v>1558</v>
      </c>
      <c r="C257" s="2" t="s">
        <v>1559</v>
      </c>
      <c r="D257" s="8" t="s">
        <v>827</v>
      </c>
    </row>
    <row r="258">
      <c r="A258" s="8" t="s">
        <v>1560</v>
      </c>
      <c r="B258" s="2" t="s">
        <v>1561</v>
      </c>
      <c r="C258" s="2" t="s">
        <v>1562</v>
      </c>
      <c r="D258" s="8" t="s">
        <v>811</v>
      </c>
    </row>
    <row r="259">
      <c r="A259" s="8" t="s">
        <v>1563</v>
      </c>
      <c r="B259" s="2" t="s">
        <v>1564</v>
      </c>
      <c r="C259" s="2" t="s">
        <v>1565</v>
      </c>
      <c r="D259" s="8" t="s">
        <v>811</v>
      </c>
    </row>
    <row r="260">
      <c r="A260" s="8" t="s">
        <v>1566</v>
      </c>
      <c r="B260" s="2" t="s">
        <v>1567</v>
      </c>
      <c r="C260" s="2" t="s">
        <v>1568</v>
      </c>
      <c r="D260" s="8" t="s">
        <v>787</v>
      </c>
    </row>
    <row r="261">
      <c r="A261" s="8" t="s">
        <v>1569</v>
      </c>
      <c r="B261" s="2" t="s">
        <v>1570</v>
      </c>
      <c r="C261" s="2" t="s">
        <v>1571</v>
      </c>
      <c r="D261" s="8" t="s">
        <v>827</v>
      </c>
    </row>
    <row r="262">
      <c r="A262" s="8" t="s">
        <v>1572</v>
      </c>
      <c r="B262" s="2" t="s">
        <v>1573</v>
      </c>
      <c r="C262" s="2" t="s">
        <v>1574</v>
      </c>
      <c r="D262" s="8" t="s">
        <v>801</v>
      </c>
    </row>
    <row r="263">
      <c r="A263" s="8" t="s">
        <v>1575</v>
      </c>
      <c r="B263" s="2" t="s">
        <v>1576</v>
      </c>
      <c r="C263" s="2" t="s">
        <v>1577</v>
      </c>
      <c r="D263" s="8" t="s">
        <v>801</v>
      </c>
    </row>
    <row r="264">
      <c r="A264" s="8" t="s">
        <v>1578</v>
      </c>
      <c r="B264" s="2" t="s">
        <v>1579</v>
      </c>
      <c r="C264" s="2" t="s">
        <v>1580</v>
      </c>
      <c r="D264" s="8" t="s">
        <v>878</v>
      </c>
    </row>
    <row r="265">
      <c r="A265" s="8" t="s">
        <v>1581</v>
      </c>
      <c r="B265" s="2" t="s">
        <v>1582</v>
      </c>
      <c r="C265" s="2" t="s">
        <v>1583</v>
      </c>
      <c r="D265" s="8" t="s">
        <v>861</v>
      </c>
    </row>
    <row r="266">
      <c r="A266" s="8" t="s">
        <v>1584</v>
      </c>
      <c r="B266" s="2" t="s">
        <v>1585</v>
      </c>
      <c r="C266" s="2" t="s">
        <v>1586</v>
      </c>
      <c r="D266" s="8" t="s">
        <v>811</v>
      </c>
    </row>
    <row r="267">
      <c r="A267" s="8" t="s">
        <v>1587</v>
      </c>
      <c r="B267" s="2" t="s">
        <v>1588</v>
      </c>
      <c r="C267" s="2" t="s">
        <v>1589</v>
      </c>
      <c r="D267" s="8" t="s">
        <v>811</v>
      </c>
    </row>
    <row r="268">
      <c r="A268" s="8" t="s">
        <v>1590</v>
      </c>
      <c r="B268" s="2" t="s">
        <v>1591</v>
      </c>
      <c r="C268" s="2" t="s">
        <v>1592</v>
      </c>
      <c r="D268" s="8" t="s">
        <v>811</v>
      </c>
    </row>
    <row r="269">
      <c r="A269" s="8" t="s">
        <v>1593</v>
      </c>
      <c r="B269" s="2" t="s">
        <v>1594</v>
      </c>
      <c r="C269" s="2" t="s">
        <v>1595</v>
      </c>
      <c r="D269" s="8" t="s">
        <v>797</v>
      </c>
    </row>
    <row r="270">
      <c r="A270" s="8" t="s">
        <v>1596</v>
      </c>
      <c r="B270" s="2" t="s">
        <v>1597</v>
      </c>
      <c r="C270" s="2" t="s">
        <v>1598</v>
      </c>
      <c r="D270" s="8" t="s">
        <v>878</v>
      </c>
    </row>
    <row r="271">
      <c r="A271" s="8" t="s">
        <v>1599</v>
      </c>
      <c r="B271" s="2" t="s">
        <v>1600</v>
      </c>
      <c r="C271" s="2" t="s">
        <v>1601</v>
      </c>
      <c r="D271" s="8" t="s">
        <v>827</v>
      </c>
    </row>
    <row r="272">
      <c r="A272" s="8" t="s">
        <v>1602</v>
      </c>
      <c r="B272" s="2" t="s">
        <v>1603</v>
      </c>
      <c r="C272" s="2" t="s">
        <v>1604</v>
      </c>
      <c r="D272" s="8" t="s">
        <v>827</v>
      </c>
    </row>
    <row r="273">
      <c r="A273" s="8" t="s">
        <v>1605</v>
      </c>
      <c r="B273" s="2" t="s">
        <v>1606</v>
      </c>
      <c r="C273" s="2" t="s">
        <v>1607</v>
      </c>
      <c r="D273" s="8" t="s">
        <v>827</v>
      </c>
    </row>
    <row r="274">
      <c r="A274" s="8" t="s">
        <v>1608</v>
      </c>
      <c r="B274" s="2" t="s">
        <v>1609</v>
      </c>
      <c r="C274" s="2" t="s">
        <v>1610</v>
      </c>
      <c r="D274" s="8" t="s">
        <v>878</v>
      </c>
    </row>
    <row r="275">
      <c r="A275" s="8" t="s">
        <v>1611</v>
      </c>
      <c r="B275" s="2" t="s">
        <v>1612</v>
      </c>
      <c r="C275" s="2" t="s">
        <v>1613</v>
      </c>
      <c r="D275" s="8" t="s">
        <v>801</v>
      </c>
    </row>
    <row r="276">
      <c r="A276" s="8" t="s">
        <v>1614</v>
      </c>
      <c r="B276" s="2" t="s">
        <v>1615</v>
      </c>
      <c r="C276" s="2" t="s">
        <v>1616</v>
      </c>
      <c r="D276" s="8" t="s">
        <v>865</v>
      </c>
    </row>
    <row r="277">
      <c r="A277" s="8" t="s">
        <v>1617</v>
      </c>
      <c r="B277" s="2" t="s">
        <v>1618</v>
      </c>
      <c r="C277" s="2" t="s">
        <v>1619</v>
      </c>
      <c r="D277" s="8" t="s">
        <v>811</v>
      </c>
    </row>
    <row r="278">
      <c r="A278" s="8" t="s">
        <v>1620</v>
      </c>
      <c r="B278" s="2" t="s">
        <v>1621</v>
      </c>
      <c r="C278" s="2" t="s">
        <v>1622</v>
      </c>
      <c r="D278" s="8" t="s">
        <v>878</v>
      </c>
    </row>
    <row r="279">
      <c r="A279" s="8" t="s">
        <v>1623</v>
      </c>
      <c r="B279" s="2" t="s">
        <v>1624</v>
      </c>
      <c r="C279" s="2" t="s">
        <v>1625</v>
      </c>
      <c r="D279" s="8" t="s">
        <v>801</v>
      </c>
    </row>
    <row r="280">
      <c r="A280" s="8" t="s">
        <v>1626</v>
      </c>
      <c r="B280" s="2" t="s">
        <v>1627</v>
      </c>
      <c r="C280" s="2" t="s">
        <v>1628</v>
      </c>
      <c r="D280" s="8" t="s">
        <v>801</v>
      </c>
    </row>
    <row r="281">
      <c r="A281" s="8" t="s">
        <v>1629</v>
      </c>
      <c r="B281" s="2" t="s">
        <v>1630</v>
      </c>
      <c r="C281" s="2" t="s">
        <v>1631</v>
      </c>
      <c r="D281" s="8" t="s">
        <v>797</v>
      </c>
    </row>
    <row r="282">
      <c r="A282" s="8" t="s">
        <v>1632</v>
      </c>
      <c r="B282" s="2" t="s">
        <v>1633</v>
      </c>
      <c r="C282" s="2" t="s">
        <v>1634</v>
      </c>
      <c r="D282" s="8" t="s">
        <v>811</v>
      </c>
    </row>
    <row r="283">
      <c r="A283" s="8" t="s">
        <v>1635</v>
      </c>
      <c r="B283" s="2" t="s">
        <v>1636</v>
      </c>
      <c r="C283" s="2" t="s">
        <v>1637</v>
      </c>
      <c r="D283" s="8" t="s">
        <v>797</v>
      </c>
    </row>
    <row r="284">
      <c r="A284" s="8" t="s">
        <v>1638</v>
      </c>
      <c r="B284" s="2" t="s">
        <v>1639</v>
      </c>
      <c r="C284" s="2" t="s">
        <v>1640</v>
      </c>
      <c r="D284" s="8" t="s">
        <v>787</v>
      </c>
    </row>
    <row r="285">
      <c r="A285" s="8" t="s">
        <v>1641</v>
      </c>
      <c r="B285" s="2" t="s">
        <v>1642</v>
      </c>
      <c r="C285" s="2" t="s">
        <v>1643</v>
      </c>
      <c r="D285" s="8" t="s">
        <v>811</v>
      </c>
    </row>
    <row r="286">
      <c r="A286" s="8" t="s">
        <v>1644</v>
      </c>
      <c r="B286" s="2" t="s">
        <v>1645</v>
      </c>
      <c r="C286" s="2" t="s">
        <v>1646</v>
      </c>
      <c r="D286" s="8" t="s">
        <v>878</v>
      </c>
    </row>
    <row r="287">
      <c r="A287" s="8" t="s">
        <v>1647</v>
      </c>
      <c r="B287" s="2" t="s">
        <v>1648</v>
      </c>
      <c r="C287" s="2" t="s">
        <v>1649</v>
      </c>
      <c r="D287" s="8" t="s">
        <v>787</v>
      </c>
    </row>
    <row r="288">
      <c r="A288" s="8" t="s">
        <v>1650</v>
      </c>
      <c r="B288" s="2" t="s">
        <v>1651</v>
      </c>
      <c r="C288" s="2" t="s">
        <v>1652</v>
      </c>
      <c r="D288" s="8" t="s">
        <v>797</v>
      </c>
    </row>
    <row r="289">
      <c r="A289" s="8" t="s">
        <v>1653</v>
      </c>
      <c r="B289" s="2" t="s">
        <v>1654</v>
      </c>
      <c r="C289" s="2" t="s">
        <v>1655</v>
      </c>
      <c r="D289" s="8" t="s">
        <v>787</v>
      </c>
    </row>
    <row r="290">
      <c r="A290" s="8" t="s">
        <v>1656</v>
      </c>
      <c r="B290" s="2" t="s">
        <v>1657</v>
      </c>
      <c r="C290" s="2" t="s">
        <v>1658</v>
      </c>
      <c r="D290" s="8" t="s">
        <v>787</v>
      </c>
    </row>
    <row r="291">
      <c r="A291" s="8" t="s">
        <v>1659</v>
      </c>
      <c r="B291" s="2" t="s">
        <v>1660</v>
      </c>
      <c r="C291" s="2" t="s">
        <v>1661</v>
      </c>
      <c r="D291" s="8" t="s">
        <v>811</v>
      </c>
    </row>
    <row r="292">
      <c r="A292" s="8" t="s">
        <v>1662</v>
      </c>
      <c r="B292" s="2" t="s">
        <v>1663</v>
      </c>
      <c r="C292" s="2" t="s">
        <v>1664</v>
      </c>
      <c r="D292" s="8" t="s">
        <v>878</v>
      </c>
    </row>
    <row r="293">
      <c r="A293" s="8" t="s">
        <v>1665</v>
      </c>
      <c r="B293" s="2" t="s">
        <v>1666</v>
      </c>
      <c r="C293" s="2" t="s">
        <v>1667</v>
      </c>
      <c r="D293" s="8" t="s">
        <v>811</v>
      </c>
    </row>
    <row r="294">
      <c r="A294" s="8" t="s">
        <v>1668</v>
      </c>
      <c r="B294" s="2" t="s">
        <v>1669</v>
      </c>
      <c r="C294" s="2" t="s">
        <v>1670</v>
      </c>
      <c r="D294" s="8" t="s">
        <v>797</v>
      </c>
    </row>
    <row r="295">
      <c r="A295" s="8" t="s">
        <v>1671</v>
      </c>
      <c r="B295" s="2" t="s">
        <v>1672</v>
      </c>
      <c r="C295" s="2" t="s">
        <v>1673</v>
      </c>
      <c r="D295" s="8" t="s">
        <v>811</v>
      </c>
    </row>
    <row r="296">
      <c r="A296" s="8" t="s">
        <v>1674</v>
      </c>
      <c r="B296" s="2" t="s">
        <v>1675</v>
      </c>
      <c r="C296" s="2" t="s">
        <v>1676</v>
      </c>
      <c r="D296" s="8" t="s">
        <v>878</v>
      </c>
    </row>
    <row r="297">
      <c r="A297" s="8" t="s">
        <v>1677</v>
      </c>
      <c r="B297" s="2" t="s">
        <v>1678</v>
      </c>
      <c r="C297" s="2" t="s">
        <v>1679</v>
      </c>
      <c r="D297" s="8" t="s">
        <v>878</v>
      </c>
    </row>
    <row r="298">
      <c r="A298" s="8" t="s">
        <v>1680</v>
      </c>
      <c r="B298" s="2" t="s">
        <v>1681</v>
      </c>
      <c r="C298" s="2" t="s">
        <v>1682</v>
      </c>
      <c r="D298" s="8" t="s">
        <v>865</v>
      </c>
    </row>
    <row r="299">
      <c r="A299" s="8" t="s">
        <v>1683</v>
      </c>
      <c r="B299" s="2" t="s">
        <v>1684</v>
      </c>
      <c r="C299" s="2" t="s">
        <v>1685</v>
      </c>
      <c r="D299" s="8" t="s">
        <v>878</v>
      </c>
    </row>
    <row r="300">
      <c r="A300" s="8" t="s">
        <v>1686</v>
      </c>
      <c r="B300" s="2" t="s">
        <v>1687</v>
      </c>
      <c r="C300" s="2" t="s">
        <v>1688</v>
      </c>
      <c r="D300" s="8" t="s">
        <v>827</v>
      </c>
    </row>
    <row r="301">
      <c r="A301" s="8" t="s">
        <v>1689</v>
      </c>
      <c r="B301" s="2" t="s">
        <v>1690</v>
      </c>
      <c r="C301" s="2" t="s">
        <v>1691</v>
      </c>
      <c r="D301" s="8" t="s">
        <v>797</v>
      </c>
    </row>
    <row r="302">
      <c r="A302" s="8" t="s">
        <v>1692</v>
      </c>
      <c r="B302" s="2" t="s">
        <v>1693</v>
      </c>
      <c r="C302" s="2" t="s">
        <v>1694</v>
      </c>
      <c r="D302" s="8" t="s">
        <v>787</v>
      </c>
    </row>
    <row r="303">
      <c r="A303" s="8" t="s">
        <v>1695</v>
      </c>
      <c r="B303" s="2" t="s">
        <v>1696</v>
      </c>
      <c r="C303" s="2" t="s">
        <v>1697</v>
      </c>
      <c r="D303" s="8" t="s">
        <v>811</v>
      </c>
    </row>
    <row r="304">
      <c r="A304" s="8" t="s">
        <v>1698</v>
      </c>
      <c r="B304" s="2" t="s">
        <v>1699</v>
      </c>
      <c r="C304" s="2" t="s">
        <v>1700</v>
      </c>
      <c r="D304" s="8" t="s">
        <v>787</v>
      </c>
    </row>
    <row r="305">
      <c r="A305" s="8" t="s">
        <v>1701</v>
      </c>
      <c r="B305" s="2" t="s">
        <v>1702</v>
      </c>
      <c r="C305" s="2" t="s">
        <v>1703</v>
      </c>
      <c r="D305" s="8" t="s">
        <v>787</v>
      </c>
    </row>
    <row r="306">
      <c r="A306" s="8" t="s">
        <v>1704</v>
      </c>
      <c r="B306" s="2" t="s">
        <v>1705</v>
      </c>
      <c r="C306" s="2" t="s">
        <v>1706</v>
      </c>
      <c r="D306" s="8" t="s">
        <v>787</v>
      </c>
    </row>
    <row r="307">
      <c r="A307" s="8" t="s">
        <v>1707</v>
      </c>
      <c r="B307" s="2" t="s">
        <v>1708</v>
      </c>
      <c r="C307" s="2" t="s">
        <v>1709</v>
      </c>
      <c r="D307" s="8" t="s">
        <v>865</v>
      </c>
    </row>
    <row r="308">
      <c r="A308" s="8" t="s">
        <v>1710</v>
      </c>
      <c r="B308" s="2" t="s">
        <v>1711</v>
      </c>
      <c r="C308" s="2" t="s">
        <v>1712</v>
      </c>
      <c r="D308" s="8" t="s">
        <v>787</v>
      </c>
    </row>
    <row r="309">
      <c r="A309" s="8" t="s">
        <v>1713</v>
      </c>
      <c r="B309" s="2" t="s">
        <v>1714</v>
      </c>
      <c r="C309" s="2" t="s">
        <v>1715</v>
      </c>
      <c r="D309" s="8" t="s">
        <v>801</v>
      </c>
    </row>
    <row r="310">
      <c r="A310" s="8" t="s">
        <v>1716</v>
      </c>
      <c r="B310" s="2" t="s">
        <v>1717</v>
      </c>
      <c r="C310" s="2" t="s">
        <v>1718</v>
      </c>
      <c r="D310" s="8" t="s">
        <v>811</v>
      </c>
    </row>
    <row r="311">
      <c r="A311" s="8" t="s">
        <v>1719</v>
      </c>
      <c r="B311" s="2" t="s">
        <v>1720</v>
      </c>
      <c r="C311" s="2" t="s">
        <v>1721</v>
      </c>
      <c r="D311" s="8" t="s">
        <v>801</v>
      </c>
    </row>
    <row r="312">
      <c r="A312" s="8" t="s">
        <v>1722</v>
      </c>
      <c r="B312" s="2" t="s">
        <v>1723</v>
      </c>
      <c r="C312" s="2" t="s">
        <v>1724</v>
      </c>
      <c r="D312" s="8" t="s">
        <v>811</v>
      </c>
    </row>
    <row r="313">
      <c r="A313" s="8" t="s">
        <v>1725</v>
      </c>
      <c r="B313" s="2" t="s">
        <v>1726</v>
      </c>
      <c r="C313" s="2" t="s">
        <v>1727</v>
      </c>
      <c r="D313" s="8" t="s">
        <v>827</v>
      </c>
    </row>
    <row r="314">
      <c r="A314" s="8" t="s">
        <v>1728</v>
      </c>
      <c r="B314" s="2" t="s">
        <v>1729</v>
      </c>
      <c r="C314" s="2" t="s">
        <v>1730</v>
      </c>
      <c r="D314" s="8" t="s">
        <v>801</v>
      </c>
    </row>
    <row r="315">
      <c r="A315" s="8" t="s">
        <v>1731</v>
      </c>
      <c r="B315" s="2" t="s">
        <v>1732</v>
      </c>
      <c r="C315" s="2" t="s">
        <v>1733</v>
      </c>
      <c r="D315" s="8" t="s">
        <v>861</v>
      </c>
    </row>
    <row r="316">
      <c r="A316" s="8" t="s">
        <v>1734</v>
      </c>
      <c r="B316" s="2" t="s">
        <v>1735</v>
      </c>
      <c r="C316" s="2" t="s">
        <v>1736</v>
      </c>
      <c r="D316" s="8" t="s">
        <v>865</v>
      </c>
    </row>
    <row r="317">
      <c r="A317" s="8" t="s">
        <v>1737</v>
      </c>
      <c r="B317" s="2" t="s">
        <v>1738</v>
      </c>
      <c r="C317" s="2" t="s">
        <v>1739</v>
      </c>
      <c r="D317" s="8" t="s">
        <v>811</v>
      </c>
    </row>
    <row r="318">
      <c r="A318" s="8" t="s">
        <v>1740</v>
      </c>
      <c r="B318" s="2" t="s">
        <v>1741</v>
      </c>
      <c r="C318" s="2" t="s">
        <v>1742</v>
      </c>
      <c r="D318" s="8" t="s">
        <v>811</v>
      </c>
    </row>
    <row r="319">
      <c r="A319" s="8" t="s">
        <v>1743</v>
      </c>
      <c r="B319" s="2" t="s">
        <v>1744</v>
      </c>
      <c r="C319" s="2" t="s">
        <v>1745</v>
      </c>
      <c r="D319" s="8" t="s">
        <v>801</v>
      </c>
    </row>
    <row r="320">
      <c r="A320" s="8" t="s">
        <v>1746</v>
      </c>
      <c r="B320" s="2" t="s">
        <v>1747</v>
      </c>
      <c r="C320" s="2" t="s">
        <v>1748</v>
      </c>
      <c r="D320" s="8" t="s">
        <v>801</v>
      </c>
    </row>
    <row r="321">
      <c r="A321" s="8" t="s">
        <v>1749</v>
      </c>
      <c r="B321" s="2" t="s">
        <v>1750</v>
      </c>
      <c r="C321" s="2" t="s">
        <v>1751</v>
      </c>
      <c r="D321" s="8" t="s">
        <v>878</v>
      </c>
    </row>
    <row r="322">
      <c r="A322" s="8" t="s">
        <v>1752</v>
      </c>
      <c r="B322" s="2" t="s">
        <v>1753</v>
      </c>
      <c r="C322" s="2" t="s">
        <v>1754</v>
      </c>
      <c r="D322" s="8" t="s">
        <v>878</v>
      </c>
    </row>
    <row r="323">
      <c r="A323" s="8" t="s">
        <v>1755</v>
      </c>
      <c r="B323" s="2" t="s">
        <v>1756</v>
      </c>
      <c r="C323" s="2" t="s">
        <v>1757</v>
      </c>
      <c r="D323" s="8" t="s">
        <v>787</v>
      </c>
    </row>
    <row r="324">
      <c r="A324" s="8" t="s">
        <v>1758</v>
      </c>
      <c r="B324" s="2" t="s">
        <v>1759</v>
      </c>
      <c r="C324" s="2" t="s">
        <v>1760</v>
      </c>
      <c r="D324" s="8" t="s">
        <v>827</v>
      </c>
    </row>
    <row r="325">
      <c r="A325" s="8" t="s">
        <v>1761</v>
      </c>
      <c r="B325" s="2" t="s">
        <v>1762</v>
      </c>
      <c r="C325" s="2" t="s">
        <v>1763</v>
      </c>
      <c r="D325" s="8" t="s">
        <v>797</v>
      </c>
    </row>
    <row r="326">
      <c r="A326" s="8" t="s">
        <v>1764</v>
      </c>
      <c r="B326" s="2" t="s">
        <v>1765</v>
      </c>
      <c r="C326" s="2" t="s">
        <v>1766</v>
      </c>
      <c r="D326" s="8" t="s">
        <v>801</v>
      </c>
    </row>
    <row r="327">
      <c r="A327" s="8" t="s">
        <v>1767</v>
      </c>
      <c r="B327" s="2" t="s">
        <v>1768</v>
      </c>
      <c r="C327" s="2" t="s">
        <v>1769</v>
      </c>
      <c r="D327" s="8" t="s">
        <v>801</v>
      </c>
    </row>
    <row r="328">
      <c r="A328" s="8" t="s">
        <v>1770</v>
      </c>
      <c r="B328" s="2" t="s">
        <v>1771</v>
      </c>
      <c r="C328" s="2" t="s">
        <v>1772</v>
      </c>
      <c r="D328" s="8" t="s">
        <v>827</v>
      </c>
    </row>
    <row r="329">
      <c r="A329" s="8" t="s">
        <v>1773</v>
      </c>
      <c r="B329" s="2" t="s">
        <v>1774</v>
      </c>
      <c r="C329" s="2" t="s">
        <v>1775</v>
      </c>
      <c r="D329" s="8" t="s">
        <v>801</v>
      </c>
    </row>
    <row r="330">
      <c r="A330" s="8" t="s">
        <v>1776</v>
      </c>
      <c r="B330" s="2" t="s">
        <v>1777</v>
      </c>
      <c r="C330" s="2" t="s">
        <v>1778</v>
      </c>
      <c r="D330" s="8" t="s">
        <v>865</v>
      </c>
    </row>
    <row r="331">
      <c r="A331" s="8" t="s">
        <v>1779</v>
      </c>
      <c r="B331" s="2" t="s">
        <v>1780</v>
      </c>
      <c r="C331" s="2" t="s">
        <v>1781</v>
      </c>
      <c r="D331" s="8" t="s">
        <v>801</v>
      </c>
    </row>
    <row r="332">
      <c r="A332" s="8" t="s">
        <v>1782</v>
      </c>
      <c r="B332" s="2" t="s">
        <v>1783</v>
      </c>
      <c r="C332" s="2" t="s">
        <v>1784</v>
      </c>
      <c r="D332" s="8" t="s">
        <v>787</v>
      </c>
    </row>
    <row r="333">
      <c r="A333" s="8" t="s">
        <v>1785</v>
      </c>
      <c r="B333" s="2" t="s">
        <v>1786</v>
      </c>
      <c r="C333" s="2" t="s">
        <v>1787</v>
      </c>
      <c r="D333" s="8" t="s">
        <v>865</v>
      </c>
    </row>
    <row r="334">
      <c r="A334" s="8" t="s">
        <v>1788</v>
      </c>
      <c r="B334" s="2" t="s">
        <v>1789</v>
      </c>
      <c r="C334" s="2" t="s">
        <v>1790</v>
      </c>
      <c r="D334" s="8" t="s">
        <v>811</v>
      </c>
    </row>
    <row r="335">
      <c r="A335" s="8" t="s">
        <v>1791</v>
      </c>
      <c r="B335" s="2" t="s">
        <v>1792</v>
      </c>
      <c r="C335" s="2" t="s">
        <v>1793</v>
      </c>
      <c r="D335" s="8" t="s">
        <v>787</v>
      </c>
    </row>
    <row r="336">
      <c r="A336" s="8" t="s">
        <v>1794</v>
      </c>
      <c r="B336" s="2" t="s">
        <v>1795</v>
      </c>
      <c r="C336" s="2" t="s">
        <v>1796</v>
      </c>
      <c r="D336" s="8" t="s">
        <v>787</v>
      </c>
    </row>
    <row r="337">
      <c r="A337" s="8" t="s">
        <v>1797</v>
      </c>
      <c r="B337" s="2" t="s">
        <v>1798</v>
      </c>
      <c r="C337" s="2" t="s">
        <v>1799</v>
      </c>
      <c r="D337" s="8" t="s">
        <v>801</v>
      </c>
    </row>
    <row r="338">
      <c r="A338" s="8" t="s">
        <v>1800</v>
      </c>
      <c r="B338" s="2" t="s">
        <v>1801</v>
      </c>
      <c r="C338" s="2" t="s">
        <v>1802</v>
      </c>
      <c r="D338" s="8" t="s">
        <v>797</v>
      </c>
    </row>
    <row r="339">
      <c r="A339" s="8" t="s">
        <v>1803</v>
      </c>
      <c r="B339" s="2" t="s">
        <v>1804</v>
      </c>
      <c r="C339" s="2" t="s">
        <v>1805</v>
      </c>
      <c r="D339" s="8" t="s">
        <v>797</v>
      </c>
    </row>
    <row r="340">
      <c r="A340" s="8" t="s">
        <v>1806</v>
      </c>
      <c r="B340" s="2" t="s">
        <v>1807</v>
      </c>
      <c r="C340" s="2" t="s">
        <v>1808</v>
      </c>
      <c r="D340" s="8" t="s">
        <v>801</v>
      </c>
    </row>
    <row r="341">
      <c r="A341" s="8" t="s">
        <v>1809</v>
      </c>
      <c r="B341" s="2" t="s">
        <v>1810</v>
      </c>
      <c r="C341" s="2" t="s">
        <v>1811</v>
      </c>
      <c r="D341" s="8" t="s">
        <v>811</v>
      </c>
    </row>
    <row r="342">
      <c r="A342" s="8" t="s">
        <v>1812</v>
      </c>
      <c r="B342" s="2" t="s">
        <v>1813</v>
      </c>
      <c r="C342" s="2" t="s">
        <v>1814</v>
      </c>
      <c r="D342" s="8" t="s">
        <v>827</v>
      </c>
    </row>
    <row r="343">
      <c r="A343" s="8" t="s">
        <v>1815</v>
      </c>
      <c r="B343" s="2" t="s">
        <v>1816</v>
      </c>
      <c r="C343" s="2" t="s">
        <v>1817</v>
      </c>
      <c r="D343" s="8" t="s">
        <v>797</v>
      </c>
    </row>
    <row r="344">
      <c r="A344" s="8" t="s">
        <v>1818</v>
      </c>
      <c r="B344" s="2" t="s">
        <v>1819</v>
      </c>
      <c r="C344" s="2" t="s">
        <v>1820</v>
      </c>
      <c r="D344" s="8" t="s">
        <v>811</v>
      </c>
    </row>
    <row r="345">
      <c r="A345" s="8" t="s">
        <v>1821</v>
      </c>
      <c r="B345" s="2" t="s">
        <v>1822</v>
      </c>
      <c r="C345" s="2" t="s">
        <v>1823</v>
      </c>
      <c r="D345" s="8" t="s">
        <v>797</v>
      </c>
    </row>
    <row r="346">
      <c r="A346" s="8" t="s">
        <v>1824</v>
      </c>
      <c r="B346" s="2" t="s">
        <v>1825</v>
      </c>
      <c r="C346" s="2" t="s">
        <v>1826</v>
      </c>
      <c r="D346" s="8" t="s">
        <v>811</v>
      </c>
    </row>
    <row r="347">
      <c r="A347" s="8" t="s">
        <v>1827</v>
      </c>
      <c r="B347" s="2" t="s">
        <v>1828</v>
      </c>
      <c r="C347" s="2" t="s">
        <v>1829</v>
      </c>
      <c r="D347" s="8" t="s">
        <v>811</v>
      </c>
    </row>
    <row r="348">
      <c r="A348" s="8" t="s">
        <v>1830</v>
      </c>
      <c r="B348" s="2" t="s">
        <v>1831</v>
      </c>
      <c r="C348" s="2" t="s">
        <v>1832</v>
      </c>
      <c r="D348" s="8" t="s">
        <v>787</v>
      </c>
    </row>
    <row r="349">
      <c r="A349" s="8" t="s">
        <v>1833</v>
      </c>
      <c r="B349" s="2" t="s">
        <v>1834</v>
      </c>
      <c r="C349" s="2" t="s">
        <v>1835</v>
      </c>
      <c r="D349" s="8" t="s">
        <v>861</v>
      </c>
    </row>
    <row r="350">
      <c r="A350" s="8" t="s">
        <v>1836</v>
      </c>
      <c r="B350" s="2" t="s">
        <v>1837</v>
      </c>
      <c r="C350" s="2" t="s">
        <v>1838</v>
      </c>
      <c r="D350" s="8" t="s">
        <v>787</v>
      </c>
    </row>
    <row r="351">
      <c r="A351" s="8" t="s">
        <v>1839</v>
      </c>
      <c r="B351" s="2" t="s">
        <v>1840</v>
      </c>
      <c r="C351" s="2" t="s">
        <v>1841</v>
      </c>
      <c r="D351" s="8" t="s">
        <v>861</v>
      </c>
    </row>
    <row r="352">
      <c r="A352" s="8" t="s">
        <v>1842</v>
      </c>
      <c r="B352" s="2" t="s">
        <v>1843</v>
      </c>
      <c r="C352" s="2" t="s">
        <v>1844</v>
      </c>
      <c r="D352" s="8" t="s">
        <v>797</v>
      </c>
    </row>
    <row r="353">
      <c r="A353" s="8" t="s">
        <v>1845</v>
      </c>
      <c r="B353" s="2" t="s">
        <v>1846</v>
      </c>
      <c r="C353" s="2" t="s">
        <v>1847</v>
      </c>
      <c r="D353" s="8" t="s">
        <v>797</v>
      </c>
    </row>
    <row r="354">
      <c r="A354" s="8" t="s">
        <v>1848</v>
      </c>
      <c r="B354" s="2" t="s">
        <v>1849</v>
      </c>
      <c r="C354" s="2" t="s">
        <v>1850</v>
      </c>
      <c r="D354" s="8" t="s">
        <v>811</v>
      </c>
    </row>
    <row r="355">
      <c r="A355" s="8" t="s">
        <v>1851</v>
      </c>
      <c r="B355" s="2" t="s">
        <v>1852</v>
      </c>
      <c r="C355" s="2" t="s">
        <v>1853</v>
      </c>
      <c r="D355" s="8" t="s">
        <v>787</v>
      </c>
    </row>
    <row r="356">
      <c r="A356" s="8" t="s">
        <v>1854</v>
      </c>
      <c r="B356" s="2" t="s">
        <v>1855</v>
      </c>
      <c r="C356" s="2" t="s">
        <v>1856</v>
      </c>
      <c r="D356" s="8" t="s">
        <v>811</v>
      </c>
    </row>
    <row r="357">
      <c r="A357" s="8" t="s">
        <v>1857</v>
      </c>
      <c r="B357" s="2" t="s">
        <v>1858</v>
      </c>
      <c r="C357" s="2" t="s">
        <v>1859</v>
      </c>
      <c r="D357" s="8" t="s">
        <v>811</v>
      </c>
    </row>
    <row r="358">
      <c r="A358" s="8" t="s">
        <v>1860</v>
      </c>
      <c r="B358" s="2" t="s">
        <v>1861</v>
      </c>
      <c r="C358" s="2" t="s">
        <v>1862</v>
      </c>
      <c r="D358" s="8" t="s">
        <v>878</v>
      </c>
    </row>
    <row r="359">
      <c r="A359" s="8" t="s">
        <v>1863</v>
      </c>
      <c r="B359" s="2" t="s">
        <v>1864</v>
      </c>
      <c r="C359" s="2" t="s">
        <v>1865</v>
      </c>
      <c r="D359" s="8" t="s">
        <v>787</v>
      </c>
    </row>
    <row r="360">
      <c r="A360" s="8" t="s">
        <v>1866</v>
      </c>
      <c r="B360" s="2" t="s">
        <v>1867</v>
      </c>
      <c r="C360" s="2" t="s">
        <v>1868</v>
      </c>
      <c r="D360" s="8" t="s">
        <v>878</v>
      </c>
    </row>
    <row r="361">
      <c r="A361" s="8" t="s">
        <v>1869</v>
      </c>
      <c r="B361" s="2" t="s">
        <v>1870</v>
      </c>
      <c r="C361" s="2" t="s">
        <v>1871</v>
      </c>
      <c r="D361" s="8" t="s">
        <v>801</v>
      </c>
    </row>
    <row r="362">
      <c r="A362" s="8" t="s">
        <v>1872</v>
      </c>
      <c r="B362" s="2" t="s">
        <v>1873</v>
      </c>
      <c r="C362" s="2" t="s">
        <v>1874</v>
      </c>
      <c r="D362" s="8" t="s">
        <v>878</v>
      </c>
    </row>
    <row r="363">
      <c r="A363" s="8" t="s">
        <v>1875</v>
      </c>
      <c r="B363" s="2" t="s">
        <v>1876</v>
      </c>
      <c r="C363" s="2" t="s">
        <v>1877</v>
      </c>
      <c r="D363" s="8" t="s">
        <v>797</v>
      </c>
    </row>
    <row r="364">
      <c r="A364" s="8" t="s">
        <v>1878</v>
      </c>
      <c r="B364" s="2" t="s">
        <v>1879</v>
      </c>
      <c r="C364" s="2" t="s">
        <v>1880</v>
      </c>
      <c r="D364" s="8" t="s">
        <v>878</v>
      </c>
    </row>
    <row r="365">
      <c r="A365" s="8" t="s">
        <v>1881</v>
      </c>
      <c r="B365" s="2" t="s">
        <v>1882</v>
      </c>
      <c r="C365" s="2" t="s">
        <v>1883</v>
      </c>
      <c r="D365" s="8" t="s">
        <v>878</v>
      </c>
    </row>
    <row r="366">
      <c r="A366" s="8" t="s">
        <v>1884</v>
      </c>
      <c r="B366" s="2" t="s">
        <v>1885</v>
      </c>
      <c r="C366" s="2" t="s">
        <v>1886</v>
      </c>
      <c r="D366" s="8" t="s">
        <v>861</v>
      </c>
    </row>
    <row r="367">
      <c r="A367" s="8" t="s">
        <v>1887</v>
      </c>
      <c r="B367" s="2" t="s">
        <v>1888</v>
      </c>
      <c r="C367" s="2" t="s">
        <v>1889</v>
      </c>
      <c r="D367" s="8" t="s">
        <v>797</v>
      </c>
    </row>
    <row r="368">
      <c r="A368" s="8" t="s">
        <v>1890</v>
      </c>
      <c r="B368" s="2" t="s">
        <v>1891</v>
      </c>
      <c r="C368" s="2" t="s">
        <v>1892</v>
      </c>
      <c r="D368" s="8" t="s">
        <v>801</v>
      </c>
    </row>
    <row r="369">
      <c r="A369" s="8" t="s">
        <v>1893</v>
      </c>
      <c r="B369" s="2" t="s">
        <v>1894</v>
      </c>
      <c r="C369" s="2" t="s">
        <v>1895</v>
      </c>
      <c r="D369" s="8" t="s">
        <v>878</v>
      </c>
    </row>
    <row r="370">
      <c r="A370" s="8" t="s">
        <v>1896</v>
      </c>
      <c r="B370" s="2" t="s">
        <v>1897</v>
      </c>
      <c r="C370" s="2" t="s">
        <v>1898</v>
      </c>
      <c r="D370" s="8" t="s">
        <v>797</v>
      </c>
    </row>
    <row r="371">
      <c r="A371" s="8" t="s">
        <v>1899</v>
      </c>
      <c r="B371" s="2" t="s">
        <v>1900</v>
      </c>
      <c r="C371" s="2" t="s">
        <v>1901</v>
      </c>
      <c r="D371" s="8" t="s">
        <v>811</v>
      </c>
    </row>
    <row r="372">
      <c r="A372" s="8" t="s">
        <v>1902</v>
      </c>
      <c r="B372" s="2" t="s">
        <v>1903</v>
      </c>
      <c r="C372" s="2" t="s">
        <v>1904</v>
      </c>
      <c r="D372" s="8" t="s">
        <v>811</v>
      </c>
    </row>
    <row r="373">
      <c r="A373" s="8" t="s">
        <v>1905</v>
      </c>
      <c r="B373" s="2" t="s">
        <v>1906</v>
      </c>
      <c r="C373" s="2" t="s">
        <v>1907</v>
      </c>
      <c r="D373" s="8" t="s">
        <v>801</v>
      </c>
    </row>
    <row r="374">
      <c r="A374" s="8" t="s">
        <v>1908</v>
      </c>
      <c r="B374" s="2" t="s">
        <v>1909</v>
      </c>
      <c r="C374" s="2" t="s">
        <v>1910</v>
      </c>
      <c r="D374" s="8" t="s">
        <v>811</v>
      </c>
    </row>
    <row r="375">
      <c r="A375" s="8" t="s">
        <v>1911</v>
      </c>
      <c r="B375" s="2" t="s">
        <v>1912</v>
      </c>
      <c r="C375" s="2" t="s">
        <v>1913</v>
      </c>
      <c r="D375" s="8" t="s">
        <v>797</v>
      </c>
    </row>
    <row r="376">
      <c r="A376" s="8" t="s">
        <v>1914</v>
      </c>
      <c r="B376" s="2" t="s">
        <v>1915</v>
      </c>
      <c r="C376" s="2" t="s">
        <v>1916</v>
      </c>
      <c r="D376" s="8" t="s">
        <v>801</v>
      </c>
    </row>
    <row r="377">
      <c r="A377" s="8" t="s">
        <v>1917</v>
      </c>
      <c r="B377" s="2" t="s">
        <v>1918</v>
      </c>
      <c r="C377" s="2" t="s">
        <v>1919</v>
      </c>
      <c r="D377" s="8" t="s">
        <v>801</v>
      </c>
    </row>
    <row r="378">
      <c r="A378" s="8" t="s">
        <v>1920</v>
      </c>
      <c r="B378" s="2" t="s">
        <v>1921</v>
      </c>
      <c r="C378" s="2" t="s">
        <v>1922</v>
      </c>
      <c r="D378" s="8" t="s">
        <v>787</v>
      </c>
    </row>
    <row r="379">
      <c r="A379" s="8" t="s">
        <v>1923</v>
      </c>
      <c r="B379" s="2" t="s">
        <v>1924</v>
      </c>
      <c r="C379" s="2" t="s">
        <v>1925</v>
      </c>
      <c r="D379" s="8" t="s">
        <v>878</v>
      </c>
    </row>
    <row r="380">
      <c r="A380" s="8" t="s">
        <v>1926</v>
      </c>
      <c r="B380" s="2" t="s">
        <v>1927</v>
      </c>
      <c r="C380" s="2" t="s">
        <v>1928</v>
      </c>
      <c r="D380" s="8" t="s">
        <v>878</v>
      </c>
    </row>
    <row r="381">
      <c r="A381" s="8" t="s">
        <v>1929</v>
      </c>
      <c r="B381" s="2" t="s">
        <v>1930</v>
      </c>
      <c r="C381" s="2" t="s">
        <v>1931</v>
      </c>
      <c r="D381" s="8" t="s">
        <v>811</v>
      </c>
    </row>
    <row r="382">
      <c r="A382" s="8" t="s">
        <v>1932</v>
      </c>
      <c r="B382" s="2" t="s">
        <v>1933</v>
      </c>
      <c r="C382" s="2" t="s">
        <v>1934</v>
      </c>
      <c r="D382" s="8" t="s">
        <v>797</v>
      </c>
    </row>
    <row r="383">
      <c r="A383" s="8" t="s">
        <v>1935</v>
      </c>
      <c r="B383" s="2" t="s">
        <v>1936</v>
      </c>
      <c r="C383" s="2" t="s">
        <v>1937</v>
      </c>
      <c r="D383" s="8" t="s">
        <v>801</v>
      </c>
    </row>
    <row r="384">
      <c r="A384" s="8" t="s">
        <v>1938</v>
      </c>
      <c r="B384" s="2" t="s">
        <v>1939</v>
      </c>
      <c r="C384" s="2" t="s">
        <v>1940</v>
      </c>
      <c r="D384" s="8" t="s">
        <v>865</v>
      </c>
    </row>
    <row r="385">
      <c r="A385" s="8" t="s">
        <v>1941</v>
      </c>
      <c r="B385" s="2" t="s">
        <v>1942</v>
      </c>
      <c r="C385" s="2" t="s">
        <v>1943</v>
      </c>
      <c r="D385" s="8" t="s">
        <v>878</v>
      </c>
    </row>
    <row r="386">
      <c r="A386" s="8" t="s">
        <v>1944</v>
      </c>
      <c r="B386" s="2" t="s">
        <v>1945</v>
      </c>
      <c r="C386" s="2" t="s">
        <v>1946</v>
      </c>
      <c r="D386" s="8" t="s">
        <v>801</v>
      </c>
    </row>
    <row r="387">
      <c r="A387" s="8" t="s">
        <v>1947</v>
      </c>
      <c r="B387" s="2" t="s">
        <v>1948</v>
      </c>
      <c r="C387" s="2" t="s">
        <v>1949</v>
      </c>
      <c r="D387" s="8" t="s">
        <v>827</v>
      </c>
    </row>
    <row r="388">
      <c r="A388" s="8" t="s">
        <v>1950</v>
      </c>
      <c r="B388" s="2" t="s">
        <v>1951</v>
      </c>
      <c r="C388" s="2" t="s">
        <v>1952</v>
      </c>
      <c r="D388" s="8" t="s">
        <v>787</v>
      </c>
    </row>
    <row r="389">
      <c r="A389" s="8" t="s">
        <v>1953</v>
      </c>
      <c r="B389" s="2" t="s">
        <v>1954</v>
      </c>
      <c r="C389" s="2" t="s">
        <v>1955</v>
      </c>
      <c r="D389" s="8" t="s">
        <v>861</v>
      </c>
    </row>
    <row r="390">
      <c r="A390" s="8" t="s">
        <v>1956</v>
      </c>
      <c r="B390" s="2" t="s">
        <v>1957</v>
      </c>
      <c r="C390" s="2" t="s">
        <v>1958</v>
      </c>
      <c r="D390" s="8" t="s">
        <v>787</v>
      </c>
    </row>
    <row r="391">
      <c r="A391" s="8" t="s">
        <v>1959</v>
      </c>
      <c r="B391" s="2" t="s">
        <v>1960</v>
      </c>
      <c r="C391" s="2" t="s">
        <v>1961</v>
      </c>
      <c r="D391" s="8" t="s">
        <v>811</v>
      </c>
    </row>
    <row r="392">
      <c r="A392" s="8" t="s">
        <v>1962</v>
      </c>
      <c r="B392" s="2" t="s">
        <v>1963</v>
      </c>
      <c r="C392" s="2" t="s">
        <v>1964</v>
      </c>
      <c r="D392" s="8" t="s">
        <v>811</v>
      </c>
    </row>
    <row r="393">
      <c r="A393" s="8" t="s">
        <v>1965</v>
      </c>
      <c r="B393" s="2" t="s">
        <v>1966</v>
      </c>
      <c r="C393" s="2" t="s">
        <v>1967</v>
      </c>
      <c r="D393" s="8" t="s">
        <v>811</v>
      </c>
    </row>
    <row r="394">
      <c r="A394" s="8" t="s">
        <v>1968</v>
      </c>
      <c r="B394" s="2" t="s">
        <v>1969</v>
      </c>
      <c r="C394" s="2" t="s">
        <v>1970</v>
      </c>
      <c r="D394" s="8" t="s">
        <v>811</v>
      </c>
    </row>
    <row r="395">
      <c r="A395" s="8" t="s">
        <v>1971</v>
      </c>
      <c r="B395" s="2" t="s">
        <v>1972</v>
      </c>
      <c r="C395" s="2" t="s">
        <v>1973</v>
      </c>
      <c r="D395" s="8" t="s">
        <v>787</v>
      </c>
    </row>
    <row r="396">
      <c r="A396" s="8" t="s">
        <v>1974</v>
      </c>
      <c r="B396" s="2" t="s">
        <v>1975</v>
      </c>
      <c r="C396" s="2" t="s">
        <v>1976</v>
      </c>
      <c r="D396" s="8" t="s">
        <v>801</v>
      </c>
    </row>
    <row r="397">
      <c r="A397" s="8" t="s">
        <v>1977</v>
      </c>
      <c r="B397" s="2" t="s">
        <v>1978</v>
      </c>
      <c r="C397" s="2" t="s">
        <v>1979</v>
      </c>
      <c r="D397" s="8" t="s">
        <v>797</v>
      </c>
    </row>
    <row r="398">
      <c r="A398" s="8" t="s">
        <v>1980</v>
      </c>
      <c r="B398" s="2" t="s">
        <v>1981</v>
      </c>
      <c r="C398" s="2" t="s">
        <v>1982</v>
      </c>
      <c r="D398" s="8" t="s">
        <v>787</v>
      </c>
    </row>
    <row r="399">
      <c r="A399" s="8" t="s">
        <v>1983</v>
      </c>
      <c r="B399" s="2" t="s">
        <v>1984</v>
      </c>
      <c r="C399" s="2" t="s">
        <v>1985</v>
      </c>
      <c r="D399" s="8" t="s">
        <v>861</v>
      </c>
    </row>
    <row r="400">
      <c r="A400" s="8" t="s">
        <v>1986</v>
      </c>
      <c r="B400" s="2" t="s">
        <v>1987</v>
      </c>
      <c r="C400" s="2" t="s">
        <v>1988</v>
      </c>
      <c r="D400" s="8" t="s">
        <v>797</v>
      </c>
    </row>
    <row r="401">
      <c r="A401" s="8" t="s">
        <v>1989</v>
      </c>
      <c r="B401" s="2" t="s">
        <v>1990</v>
      </c>
      <c r="C401" s="2" t="s">
        <v>1991</v>
      </c>
      <c r="D401" s="8" t="s">
        <v>865</v>
      </c>
    </row>
    <row r="402">
      <c r="A402" s="8" t="s">
        <v>1992</v>
      </c>
      <c r="B402" s="2" t="s">
        <v>1993</v>
      </c>
      <c r="C402" s="2" t="s">
        <v>1994</v>
      </c>
      <c r="D402" s="8" t="s">
        <v>787</v>
      </c>
    </row>
    <row r="403">
      <c r="A403" s="8" t="s">
        <v>1995</v>
      </c>
      <c r="B403" s="2" t="s">
        <v>1996</v>
      </c>
      <c r="C403" s="2" t="s">
        <v>1997</v>
      </c>
      <c r="D403" s="8" t="s">
        <v>861</v>
      </c>
    </row>
    <row r="404">
      <c r="A404" s="8" t="s">
        <v>1998</v>
      </c>
      <c r="B404" s="2" t="s">
        <v>1999</v>
      </c>
      <c r="C404" s="2" t="s">
        <v>2000</v>
      </c>
      <c r="D404" s="8" t="s">
        <v>811</v>
      </c>
    </row>
    <row r="405">
      <c r="A405" s="8" t="s">
        <v>2001</v>
      </c>
      <c r="B405" s="2" t="s">
        <v>2002</v>
      </c>
      <c r="C405" s="2" t="s">
        <v>2003</v>
      </c>
      <c r="D405" s="8" t="s">
        <v>865</v>
      </c>
    </row>
    <row r="406">
      <c r="A406" s="8" t="s">
        <v>2004</v>
      </c>
      <c r="B406" s="2" t="s">
        <v>2005</v>
      </c>
      <c r="C406" s="2" t="s">
        <v>2006</v>
      </c>
      <c r="D406" s="8" t="s">
        <v>787</v>
      </c>
    </row>
    <row r="407">
      <c r="A407" s="8" t="s">
        <v>2007</v>
      </c>
      <c r="B407" s="2" t="s">
        <v>2008</v>
      </c>
      <c r="C407" s="2" t="s">
        <v>2009</v>
      </c>
      <c r="D407" s="8" t="s">
        <v>811</v>
      </c>
    </row>
    <row r="408">
      <c r="A408" s="8" t="s">
        <v>2010</v>
      </c>
      <c r="B408" s="2" t="s">
        <v>2011</v>
      </c>
      <c r="C408" s="2" t="s">
        <v>2012</v>
      </c>
      <c r="D408" s="8" t="s">
        <v>797</v>
      </c>
    </row>
    <row r="409">
      <c r="A409" s="8" t="s">
        <v>2013</v>
      </c>
      <c r="B409" s="2" t="s">
        <v>2014</v>
      </c>
      <c r="C409" s="2" t="s">
        <v>2015</v>
      </c>
      <c r="D409" s="8" t="s">
        <v>861</v>
      </c>
    </row>
    <row r="410">
      <c r="A410" s="8" t="s">
        <v>2016</v>
      </c>
      <c r="B410" s="2" t="s">
        <v>2017</v>
      </c>
      <c r="C410" s="2" t="s">
        <v>2018</v>
      </c>
      <c r="D410" s="8" t="s">
        <v>827</v>
      </c>
    </row>
    <row r="411">
      <c r="A411" s="8" t="s">
        <v>2019</v>
      </c>
      <c r="B411" s="2" t="s">
        <v>2020</v>
      </c>
      <c r="C411" s="2" t="s">
        <v>2021</v>
      </c>
      <c r="D411" s="8" t="s">
        <v>811</v>
      </c>
    </row>
    <row r="412">
      <c r="A412" s="8" t="s">
        <v>2022</v>
      </c>
      <c r="B412" s="2" t="s">
        <v>2023</v>
      </c>
      <c r="C412" s="2" t="s">
        <v>2024</v>
      </c>
      <c r="D412" s="8" t="s">
        <v>811</v>
      </c>
    </row>
    <row r="413">
      <c r="A413" s="8" t="s">
        <v>2025</v>
      </c>
      <c r="B413" s="2" t="s">
        <v>2026</v>
      </c>
      <c r="C413" s="2" t="s">
        <v>2027</v>
      </c>
      <c r="D413" s="8" t="s">
        <v>787</v>
      </c>
    </row>
    <row r="414">
      <c r="A414" s="8" t="s">
        <v>2028</v>
      </c>
      <c r="B414" s="2" t="s">
        <v>2029</v>
      </c>
      <c r="C414" s="2" t="s">
        <v>2030</v>
      </c>
      <c r="D414" s="8" t="s">
        <v>801</v>
      </c>
    </row>
    <row r="415">
      <c r="A415" s="8" t="s">
        <v>2031</v>
      </c>
      <c r="B415" s="2" t="s">
        <v>2032</v>
      </c>
      <c r="C415" s="2" t="s">
        <v>2033</v>
      </c>
      <c r="D415" s="8" t="s">
        <v>878</v>
      </c>
    </row>
    <row r="416">
      <c r="A416" s="8" t="s">
        <v>2034</v>
      </c>
      <c r="B416" s="2" t="s">
        <v>2035</v>
      </c>
      <c r="C416" s="2" t="s">
        <v>2036</v>
      </c>
      <c r="D416" s="8" t="s">
        <v>861</v>
      </c>
    </row>
    <row r="417">
      <c r="A417" s="8" t="s">
        <v>2037</v>
      </c>
      <c r="B417" s="2" t="s">
        <v>2038</v>
      </c>
      <c r="C417" s="2" t="s">
        <v>2039</v>
      </c>
      <c r="D417" s="8" t="s">
        <v>811</v>
      </c>
    </row>
    <row r="418">
      <c r="A418" s="8" t="s">
        <v>2040</v>
      </c>
      <c r="B418" s="2" t="s">
        <v>2041</v>
      </c>
      <c r="C418" s="2" t="s">
        <v>2042</v>
      </c>
      <c r="D418" s="8" t="s">
        <v>787</v>
      </c>
    </row>
    <row r="419">
      <c r="A419" s="8" t="s">
        <v>2043</v>
      </c>
      <c r="B419" s="2" t="s">
        <v>2044</v>
      </c>
      <c r="C419" s="2" t="s">
        <v>2045</v>
      </c>
      <c r="D419" s="8" t="s">
        <v>811</v>
      </c>
    </row>
    <row r="420">
      <c r="A420" s="8" t="s">
        <v>2046</v>
      </c>
      <c r="B420" s="2" t="s">
        <v>2047</v>
      </c>
      <c r="C420" s="2" t="s">
        <v>2048</v>
      </c>
      <c r="D420" s="8" t="s">
        <v>811</v>
      </c>
    </row>
    <row r="421">
      <c r="A421" s="8" t="s">
        <v>2049</v>
      </c>
      <c r="B421" s="2" t="s">
        <v>2050</v>
      </c>
      <c r="C421" s="2" t="s">
        <v>2051</v>
      </c>
      <c r="D421" s="8" t="s">
        <v>878</v>
      </c>
    </row>
    <row r="422">
      <c r="A422" s="8" t="s">
        <v>2052</v>
      </c>
      <c r="B422" s="2" t="s">
        <v>2053</v>
      </c>
      <c r="C422" s="2" t="s">
        <v>2054</v>
      </c>
      <c r="D422" s="8" t="s">
        <v>801</v>
      </c>
    </row>
    <row r="423">
      <c r="A423" s="8" t="s">
        <v>2055</v>
      </c>
      <c r="B423" s="2" t="s">
        <v>2056</v>
      </c>
      <c r="C423" s="2" t="s">
        <v>2057</v>
      </c>
      <c r="D423" s="8" t="s">
        <v>811</v>
      </c>
    </row>
    <row r="424">
      <c r="A424" s="8" t="s">
        <v>2058</v>
      </c>
      <c r="B424" s="2" t="s">
        <v>2059</v>
      </c>
      <c r="C424" s="2" t="s">
        <v>2060</v>
      </c>
      <c r="D424" s="8" t="s">
        <v>787</v>
      </c>
    </row>
    <row r="425">
      <c r="A425" s="8" t="s">
        <v>2061</v>
      </c>
      <c r="B425" s="2" t="s">
        <v>2062</v>
      </c>
      <c r="C425" s="2" t="s">
        <v>2063</v>
      </c>
      <c r="D425" s="8" t="s">
        <v>811</v>
      </c>
    </row>
    <row r="426">
      <c r="A426" s="8" t="s">
        <v>2064</v>
      </c>
      <c r="B426" s="2" t="s">
        <v>2065</v>
      </c>
      <c r="C426" s="2" t="s">
        <v>2066</v>
      </c>
      <c r="D426" s="8" t="s">
        <v>801</v>
      </c>
    </row>
    <row r="427">
      <c r="A427" s="8" t="s">
        <v>2067</v>
      </c>
      <c r="B427" s="2" t="s">
        <v>2068</v>
      </c>
      <c r="C427" s="2" t="s">
        <v>2069</v>
      </c>
      <c r="D427" s="8" t="s">
        <v>787</v>
      </c>
    </row>
    <row r="428">
      <c r="A428" s="8" t="s">
        <v>2070</v>
      </c>
      <c r="B428" s="2" t="s">
        <v>2071</v>
      </c>
      <c r="C428" s="2" t="s">
        <v>2072</v>
      </c>
      <c r="D428" s="8" t="s">
        <v>865</v>
      </c>
    </row>
    <row r="429">
      <c r="A429" s="8" t="s">
        <v>2073</v>
      </c>
      <c r="B429" s="2" t="s">
        <v>2074</v>
      </c>
      <c r="C429" s="2" t="s">
        <v>2075</v>
      </c>
      <c r="D429" s="8" t="s">
        <v>878</v>
      </c>
    </row>
    <row r="430">
      <c r="A430" s="8" t="s">
        <v>2076</v>
      </c>
      <c r="B430" s="2" t="s">
        <v>2077</v>
      </c>
      <c r="C430" s="2" t="s">
        <v>2078</v>
      </c>
      <c r="D430" s="8" t="s">
        <v>811</v>
      </c>
    </row>
    <row r="431">
      <c r="A431" s="8" t="s">
        <v>2079</v>
      </c>
      <c r="B431" s="2" t="s">
        <v>2080</v>
      </c>
      <c r="C431" s="2" t="s">
        <v>2081</v>
      </c>
      <c r="D431" s="8" t="s">
        <v>787</v>
      </c>
    </row>
    <row r="432">
      <c r="A432" s="8" t="s">
        <v>2082</v>
      </c>
      <c r="B432" s="2" t="s">
        <v>2083</v>
      </c>
      <c r="C432" s="2" t="s">
        <v>2084</v>
      </c>
      <c r="D432" s="8" t="s">
        <v>797</v>
      </c>
    </row>
    <row r="433">
      <c r="A433" s="8" t="s">
        <v>2085</v>
      </c>
      <c r="B433" s="2" t="s">
        <v>2086</v>
      </c>
      <c r="C433" s="2" t="s">
        <v>2087</v>
      </c>
      <c r="D433" s="8" t="s">
        <v>861</v>
      </c>
    </row>
    <row r="434">
      <c r="A434" s="8" t="s">
        <v>2088</v>
      </c>
      <c r="B434" s="2" t="s">
        <v>2089</v>
      </c>
      <c r="C434" s="2" t="s">
        <v>2090</v>
      </c>
      <c r="D434" s="8" t="s">
        <v>801</v>
      </c>
    </row>
    <row r="435">
      <c r="A435" s="8" t="s">
        <v>2091</v>
      </c>
      <c r="B435" s="2" t="s">
        <v>2092</v>
      </c>
      <c r="C435" s="2" t="s">
        <v>2093</v>
      </c>
      <c r="D435" s="8" t="s">
        <v>827</v>
      </c>
    </row>
    <row r="436">
      <c r="A436" s="8" t="s">
        <v>2094</v>
      </c>
      <c r="B436" s="2" t="s">
        <v>2095</v>
      </c>
      <c r="C436" s="2" t="s">
        <v>2096</v>
      </c>
      <c r="D436" s="8" t="s">
        <v>797</v>
      </c>
    </row>
    <row r="437">
      <c r="A437" s="8" t="s">
        <v>2097</v>
      </c>
      <c r="B437" s="2" t="s">
        <v>2098</v>
      </c>
      <c r="C437" s="2" t="s">
        <v>2099</v>
      </c>
      <c r="D437" s="8" t="s">
        <v>811</v>
      </c>
    </row>
    <row r="438">
      <c r="A438" s="8" t="s">
        <v>2100</v>
      </c>
      <c r="B438" s="2" t="s">
        <v>2101</v>
      </c>
      <c r="C438" s="2" t="s">
        <v>2102</v>
      </c>
      <c r="D438" s="8" t="s">
        <v>801</v>
      </c>
    </row>
    <row r="439">
      <c r="A439" s="8" t="s">
        <v>2103</v>
      </c>
      <c r="B439" s="2" t="s">
        <v>2104</v>
      </c>
      <c r="C439" s="2" t="s">
        <v>2105</v>
      </c>
      <c r="D439" s="8" t="s">
        <v>811</v>
      </c>
    </row>
    <row r="440">
      <c r="A440" s="8" t="s">
        <v>2106</v>
      </c>
      <c r="B440" s="2" t="s">
        <v>2107</v>
      </c>
      <c r="C440" s="2" t="s">
        <v>2108</v>
      </c>
      <c r="D440" s="8" t="s">
        <v>827</v>
      </c>
    </row>
    <row r="441">
      <c r="A441" s="8" t="s">
        <v>2109</v>
      </c>
      <c r="B441" s="2" t="s">
        <v>2110</v>
      </c>
      <c r="C441" s="2" t="s">
        <v>2111</v>
      </c>
      <c r="D441" s="8" t="s">
        <v>827</v>
      </c>
    </row>
    <row r="442">
      <c r="A442" s="8" t="s">
        <v>2112</v>
      </c>
      <c r="B442" s="2" t="s">
        <v>2113</v>
      </c>
      <c r="C442" s="2" t="s">
        <v>2114</v>
      </c>
      <c r="D442" s="8" t="s">
        <v>811</v>
      </c>
    </row>
    <row r="443">
      <c r="A443" s="8" t="s">
        <v>2115</v>
      </c>
      <c r="B443" s="2" t="s">
        <v>2116</v>
      </c>
      <c r="C443" s="2" t="s">
        <v>2117</v>
      </c>
      <c r="D443" s="8" t="s">
        <v>787</v>
      </c>
    </row>
    <row r="444">
      <c r="A444" s="8" t="s">
        <v>2118</v>
      </c>
      <c r="B444" s="2" t="s">
        <v>2119</v>
      </c>
      <c r="C444" s="2" t="s">
        <v>2120</v>
      </c>
      <c r="D444" s="8" t="s">
        <v>787</v>
      </c>
    </row>
    <row r="445">
      <c r="A445" s="8" t="s">
        <v>2121</v>
      </c>
      <c r="B445" s="2" t="s">
        <v>2122</v>
      </c>
      <c r="C445" s="2" t="s">
        <v>2123</v>
      </c>
      <c r="D445" s="8" t="s">
        <v>865</v>
      </c>
    </row>
    <row r="446">
      <c r="A446" s="8" t="s">
        <v>2124</v>
      </c>
      <c r="B446" s="2" t="s">
        <v>2125</v>
      </c>
      <c r="C446" s="2" t="s">
        <v>2126</v>
      </c>
      <c r="D446" s="8" t="s">
        <v>878</v>
      </c>
    </row>
    <row r="447">
      <c r="A447" s="8" t="s">
        <v>2127</v>
      </c>
      <c r="B447" s="2" t="s">
        <v>2128</v>
      </c>
      <c r="C447" s="2" t="s">
        <v>2129</v>
      </c>
      <c r="D447" s="8" t="s">
        <v>878</v>
      </c>
    </row>
    <row r="448">
      <c r="A448" s="8" t="s">
        <v>2130</v>
      </c>
      <c r="B448" s="2" t="s">
        <v>2131</v>
      </c>
      <c r="C448" s="2" t="s">
        <v>2132</v>
      </c>
      <c r="D448" s="8" t="s">
        <v>801</v>
      </c>
    </row>
    <row r="449">
      <c r="A449" s="8" t="s">
        <v>2133</v>
      </c>
      <c r="B449" s="2" t="s">
        <v>2134</v>
      </c>
      <c r="C449" s="2" t="s">
        <v>2135</v>
      </c>
      <c r="D449" s="8" t="s">
        <v>811</v>
      </c>
    </row>
    <row r="450">
      <c r="A450" s="8" t="s">
        <v>2136</v>
      </c>
      <c r="B450" s="2" t="s">
        <v>2137</v>
      </c>
      <c r="C450" s="2" t="s">
        <v>2138</v>
      </c>
      <c r="D450" s="8" t="s">
        <v>878</v>
      </c>
    </row>
    <row r="451">
      <c r="A451" s="8" t="s">
        <v>2139</v>
      </c>
      <c r="B451" s="2" t="s">
        <v>2140</v>
      </c>
      <c r="C451" s="2" t="s">
        <v>2141</v>
      </c>
      <c r="D451" s="8" t="s">
        <v>797</v>
      </c>
    </row>
    <row r="452">
      <c r="A452" s="8" t="s">
        <v>2142</v>
      </c>
      <c r="B452" s="2" t="s">
        <v>2143</v>
      </c>
      <c r="C452" s="2" t="s">
        <v>2144</v>
      </c>
      <c r="D452" s="8" t="s">
        <v>811</v>
      </c>
    </row>
    <row r="453">
      <c r="A453" s="8" t="s">
        <v>2145</v>
      </c>
      <c r="B453" s="2" t="s">
        <v>2146</v>
      </c>
      <c r="C453" s="2" t="s">
        <v>2147</v>
      </c>
      <c r="D453" s="8" t="s">
        <v>801</v>
      </c>
    </row>
    <row r="454">
      <c r="A454" s="8" t="s">
        <v>2148</v>
      </c>
      <c r="B454" s="2" t="s">
        <v>2149</v>
      </c>
      <c r="C454" s="2" t="s">
        <v>2150</v>
      </c>
      <c r="D454" s="8" t="s">
        <v>797</v>
      </c>
    </row>
    <row r="455">
      <c r="A455" s="8" t="s">
        <v>2151</v>
      </c>
      <c r="B455" s="2" t="s">
        <v>2152</v>
      </c>
      <c r="C455" s="2" t="s">
        <v>2153</v>
      </c>
      <c r="D455" s="8" t="s">
        <v>878</v>
      </c>
    </row>
    <row r="456">
      <c r="A456" s="8" t="s">
        <v>2154</v>
      </c>
      <c r="B456" s="2" t="s">
        <v>2155</v>
      </c>
      <c r="C456" s="2" t="s">
        <v>2156</v>
      </c>
      <c r="D456" s="8" t="s">
        <v>787</v>
      </c>
    </row>
    <row r="457">
      <c r="A457" s="8" t="s">
        <v>2157</v>
      </c>
      <c r="B457" s="2" t="s">
        <v>2158</v>
      </c>
      <c r="C457" s="2" t="s">
        <v>2159</v>
      </c>
      <c r="D457" s="8" t="s">
        <v>827</v>
      </c>
    </row>
    <row r="458">
      <c r="A458" s="8" t="s">
        <v>2160</v>
      </c>
      <c r="B458" s="2" t="s">
        <v>2161</v>
      </c>
      <c r="C458" s="2" t="s">
        <v>2162</v>
      </c>
      <c r="D458" s="8" t="s">
        <v>801</v>
      </c>
    </row>
    <row r="459">
      <c r="A459" s="8" t="s">
        <v>2163</v>
      </c>
      <c r="B459" s="2" t="s">
        <v>2164</v>
      </c>
      <c r="C459" s="2" t="s">
        <v>2165</v>
      </c>
      <c r="D459" s="8" t="s">
        <v>811</v>
      </c>
    </row>
    <row r="460">
      <c r="A460" s="8" t="s">
        <v>2166</v>
      </c>
      <c r="B460" s="2" t="s">
        <v>2167</v>
      </c>
      <c r="C460" s="2" t="s">
        <v>2168</v>
      </c>
      <c r="D460" s="8" t="s">
        <v>811</v>
      </c>
    </row>
    <row r="461">
      <c r="A461" s="8" t="s">
        <v>2169</v>
      </c>
      <c r="B461" s="2" t="s">
        <v>2170</v>
      </c>
      <c r="C461" s="2" t="s">
        <v>2171</v>
      </c>
      <c r="D461" s="8" t="s">
        <v>801</v>
      </c>
    </row>
    <row r="462">
      <c r="A462" s="8" t="s">
        <v>2172</v>
      </c>
      <c r="B462" s="2" t="s">
        <v>2173</v>
      </c>
      <c r="C462" s="2" t="s">
        <v>2174</v>
      </c>
      <c r="D462" s="8" t="s">
        <v>865</v>
      </c>
    </row>
    <row r="463">
      <c r="A463" s="8" t="s">
        <v>2175</v>
      </c>
      <c r="B463" s="2" t="s">
        <v>2176</v>
      </c>
      <c r="C463" s="2" t="s">
        <v>2177</v>
      </c>
      <c r="D463" s="8" t="s">
        <v>787</v>
      </c>
    </row>
    <row r="464">
      <c r="A464" s="8" t="s">
        <v>2178</v>
      </c>
      <c r="B464" s="2" t="s">
        <v>2179</v>
      </c>
      <c r="C464" s="2" t="s">
        <v>2180</v>
      </c>
      <c r="D464" s="8" t="s">
        <v>801</v>
      </c>
    </row>
    <row r="465">
      <c r="A465" s="8" t="s">
        <v>2181</v>
      </c>
      <c r="B465" s="2" t="s">
        <v>2182</v>
      </c>
      <c r="C465" s="2" t="s">
        <v>2183</v>
      </c>
      <c r="D465" s="8" t="s">
        <v>811</v>
      </c>
    </row>
    <row r="466">
      <c r="A466" s="8" t="s">
        <v>2184</v>
      </c>
      <c r="B466" s="2" t="s">
        <v>2185</v>
      </c>
      <c r="C466" s="2" t="s">
        <v>2186</v>
      </c>
      <c r="D466" s="8" t="s">
        <v>811</v>
      </c>
    </row>
    <row r="467">
      <c r="A467" s="8" t="s">
        <v>2187</v>
      </c>
      <c r="B467" s="2" t="s">
        <v>2188</v>
      </c>
      <c r="C467" s="2" t="s">
        <v>2189</v>
      </c>
      <c r="D467" s="8" t="s">
        <v>787</v>
      </c>
    </row>
    <row r="468">
      <c r="A468" s="8" t="s">
        <v>2190</v>
      </c>
      <c r="B468" s="2" t="s">
        <v>2191</v>
      </c>
      <c r="C468" s="2" t="s">
        <v>2192</v>
      </c>
      <c r="D468" s="8" t="s">
        <v>787</v>
      </c>
    </row>
    <row r="469">
      <c r="A469" s="8" t="s">
        <v>2193</v>
      </c>
      <c r="B469" s="2" t="s">
        <v>2194</v>
      </c>
      <c r="C469" s="2" t="s">
        <v>2195</v>
      </c>
      <c r="D469" s="8" t="s">
        <v>801</v>
      </c>
    </row>
    <row r="470">
      <c r="A470" s="8" t="s">
        <v>2196</v>
      </c>
      <c r="B470" s="2" t="s">
        <v>2197</v>
      </c>
      <c r="C470" s="2" t="s">
        <v>2198</v>
      </c>
      <c r="D470" s="8" t="s">
        <v>801</v>
      </c>
    </row>
    <row r="471">
      <c r="A471" s="8" t="s">
        <v>2199</v>
      </c>
      <c r="B471" s="2" t="s">
        <v>2200</v>
      </c>
      <c r="C471" s="2" t="s">
        <v>2201</v>
      </c>
      <c r="D471" s="8" t="s">
        <v>787</v>
      </c>
    </row>
    <row r="472">
      <c r="A472" s="8" t="s">
        <v>2202</v>
      </c>
      <c r="B472" s="2" t="s">
        <v>2203</v>
      </c>
      <c r="C472" s="2" t="s">
        <v>2204</v>
      </c>
      <c r="D472" s="8" t="s">
        <v>801</v>
      </c>
    </row>
    <row r="473">
      <c r="A473" s="8" t="s">
        <v>2205</v>
      </c>
      <c r="B473" s="2" t="s">
        <v>2206</v>
      </c>
      <c r="C473" s="2" t="s">
        <v>2207</v>
      </c>
      <c r="D473" s="8" t="s">
        <v>801</v>
      </c>
    </row>
    <row r="474">
      <c r="A474" s="8" t="s">
        <v>2208</v>
      </c>
      <c r="B474" s="2" t="s">
        <v>2209</v>
      </c>
      <c r="C474" s="2" t="s">
        <v>2210</v>
      </c>
      <c r="D474" s="8" t="s">
        <v>787</v>
      </c>
    </row>
    <row r="475">
      <c r="A475" s="8" t="s">
        <v>2211</v>
      </c>
      <c r="B475" s="2" t="s">
        <v>2212</v>
      </c>
      <c r="C475" s="2" t="s">
        <v>2213</v>
      </c>
      <c r="D475" s="8" t="s">
        <v>865</v>
      </c>
    </row>
    <row r="476">
      <c r="A476" s="8" t="s">
        <v>2214</v>
      </c>
      <c r="B476" s="2" t="s">
        <v>2215</v>
      </c>
      <c r="C476" s="2" t="s">
        <v>2216</v>
      </c>
      <c r="D476" s="8" t="s">
        <v>861</v>
      </c>
    </row>
    <row r="477">
      <c r="A477" s="8" t="s">
        <v>2217</v>
      </c>
      <c r="B477" s="2" t="s">
        <v>2218</v>
      </c>
      <c r="C477" s="2" t="s">
        <v>2219</v>
      </c>
      <c r="D477" s="8" t="s">
        <v>811</v>
      </c>
    </row>
    <row r="478">
      <c r="A478" s="8" t="s">
        <v>2220</v>
      </c>
      <c r="B478" s="2" t="s">
        <v>2221</v>
      </c>
      <c r="C478" s="2" t="s">
        <v>2222</v>
      </c>
      <c r="D478" s="8" t="s">
        <v>827</v>
      </c>
    </row>
    <row r="479">
      <c r="A479" s="8" t="s">
        <v>2223</v>
      </c>
      <c r="B479" s="2" t="s">
        <v>2224</v>
      </c>
      <c r="C479" s="2" t="s">
        <v>2225</v>
      </c>
      <c r="D479" s="8" t="s">
        <v>811</v>
      </c>
    </row>
    <row r="480">
      <c r="A480" s="8" t="s">
        <v>2226</v>
      </c>
      <c r="B480" s="2" t="s">
        <v>2227</v>
      </c>
      <c r="C480" s="2" t="s">
        <v>2228</v>
      </c>
      <c r="D480" s="8" t="s">
        <v>865</v>
      </c>
    </row>
    <row r="481">
      <c r="A481" s="8" t="s">
        <v>2229</v>
      </c>
      <c r="B481" s="2" t="s">
        <v>2230</v>
      </c>
      <c r="C481" s="2" t="s">
        <v>2231</v>
      </c>
      <c r="D481" s="8" t="s">
        <v>801</v>
      </c>
    </row>
    <row r="482">
      <c r="A482" s="8" t="s">
        <v>2232</v>
      </c>
      <c r="B482" s="2" t="s">
        <v>2233</v>
      </c>
      <c r="C482" s="2" t="s">
        <v>2234</v>
      </c>
      <c r="D482" s="8" t="s">
        <v>787</v>
      </c>
    </row>
    <row r="483">
      <c r="A483" s="8" t="s">
        <v>2235</v>
      </c>
      <c r="B483" s="2" t="s">
        <v>2236</v>
      </c>
      <c r="C483" s="2" t="s">
        <v>2237</v>
      </c>
      <c r="D483" s="8" t="s">
        <v>865</v>
      </c>
    </row>
    <row r="484">
      <c r="A484" s="8" t="s">
        <v>2238</v>
      </c>
      <c r="B484" s="2" t="s">
        <v>2239</v>
      </c>
      <c r="C484" s="2" t="s">
        <v>2240</v>
      </c>
      <c r="D484" s="8" t="s">
        <v>827</v>
      </c>
    </row>
    <row r="485">
      <c r="A485" s="8" t="s">
        <v>2241</v>
      </c>
      <c r="B485" s="2" t="s">
        <v>2242</v>
      </c>
      <c r="C485" s="2" t="s">
        <v>2243</v>
      </c>
      <c r="D485" s="8" t="s">
        <v>811</v>
      </c>
    </row>
    <row r="486">
      <c r="A486" s="8" t="s">
        <v>2244</v>
      </c>
      <c r="B486" s="2" t="s">
        <v>2245</v>
      </c>
      <c r="C486" s="2" t="s">
        <v>2246</v>
      </c>
      <c r="D486" s="8" t="s">
        <v>811</v>
      </c>
    </row>
    <row r="487">
      <c r="A487" s="8" t="s">
        <v>2247</v>
      </c>
      <c r="B487" s="2" t="s">
        <v>2248</v>
      </c>
      <c r="C487" s="2" t="s">
        <v>2249</v>
      </c>
      <c r="D487" s="8" t="s">
        <v>865</v>
      </c>
    </row>
    <row r="488">
      <c r="A488" s="8" t="s">
        <v>2250</v>
      </c>
      <c r="B488" s="2" t="s">
        <v>2251</v>
      </c>
      <c r="C488" s="2" t="s">
        <v>2252</v>
      </c>
      <c r="D488" s="8" t="s">
        <v>878</v>
      </c>
    </row>
    <row r="489">
      <c r="A489" s="8" t="s">
        <v>2253</v>
      </c>
      <c r="B489" s="2" t="s">
        <v>2254</v>
      </c>
      <c r="C489" s="2" t="s">
        <v>2255</v>
      </c>
      <c r="D489" s="8" t="s">
        <v>801</v>
      </c>
    </row>
    <row r="490">
      <c r="A490" s="8" t="s">
        <v>2256</v>
      </c>
      <c r="B490" s="2" t="s">
        <v>2257</v>
      </c>
      <c r="C490" s="2" t="s">
        <v>2258</v>
      </c>
      <c r="D490" s="8" t="s">
        <v>827</v>
      </c>
    </row>
    <row r="491">
      <c r="A491" s="8" t="s">
        <v>2259</v>
      </c>
      <c r="B491" s="2" t="s">
        <v>2260</v>
      </c>
      <c r="C491" s="2" t="s">
        <v>2261</v>
      </c>
      <c r="D491" s="8" t="s">
        <v>787</v>
      </c>
    </row>
    <row r="492">
      <c r="A492" s="8" t="s">
        <v>2262</v>
      </c>
      <c r="B492" s="2" t="s">
        <v>2263</v>
      </c>
      <c r="C492" s="2" t="s">
        <v>2264</v>
      </c>
      <c r="D492" s="8" t="s">
        <v>811</v>
      </c>
    </row>
    <row r="493">
      <c r="A493" s="8" t="s">
        <v>2265</v>
      </c>
      <c r="B493" s="2" t="s">
        <v>2266</v>
      </c>
      <c r="C493" s="2" t="s">
        <v>2267</v>
      </c>
      <c r="D493" s="8" t="s">
        <v>801</v>
      </c>
    </row>
    <row r="494">
      <c r="A494" s="8" t="s">
        <v>2268</v>
      </c>
      <c r="B494" s="2" t="s">
        <v>2269</v>
      </c>
      <c r="C494" s="2" t="s">
        <v>2270</v>
      </c>
      <c r="D494" s="8" t="s">
        <v>811</v>
      </c>
    </row>
    <row r="495">
      <c r="A495" s="8" t="s">
        <v>2271</v>
      </c>
      <c r="B495" s="2" t="s">
        <v>2272</v>
      </c>
      <c r="C495" s="2" t="s">
        <v>2273</v>
      </c>
      <c r="D495" s="8" t="s">
        <v>811</v>
      </c>
    </row>
    <row r="496">
      <c r="A496" s="8" t="s">
        <v>2274</v>
      </c>
      <c r="B496" s="2" t="s">
        <v>2275</v>
      </c>
      <c r="C496" s="2" t="s">
        <v>2276</v>
      </c>
      <c r="D496" s="8" t="s">
        <v>878</v>
      </c>
    </row>
    <row r="497">
      <c r="A497" s="8" t="s">
        <v>2277</v>
      </c>
      <c r="B497" s="2" t="s">
        <v>2278</v>
      </c>
      <c r="C497" s="2" t="s">
        <v>2279</v>
      </c>
      <c r="D497" s="8" t="s">
        <v>801</v>
      </c>
    </row>
    <row r="498">
      <c r="A498" s="8" t="s">
        <v>2280</v>
      </c>
      <c r="B498" s="2" t="s">
        <v>2281</v>
      </c>
      <c r="C498" s="2" t="s">
        <v>2282</v>
      </c>
      <c r="D498" s="8" t="s">
        <v>827</v>
      </c>
    </row>
    <row r="499">
      <c r="A499" s="8" t="s">
        <v>2283</v>
      </c>
      <c r="B499" s="2" t="s">
        <v>2284</v>
      </c>
      <c r="C499" s="2" t="s">
        <v>2285</v>
      </c>
      <c r="D499" s="8" t="s">
        <v>878</v>
      </c>
    </row>
    <row r="500">
      <c r="A500" s="8" t="s">
        <v>2286</v>
      </c>
      <c r="B500" s="2" t="s">
        <v>2287</v>
      </c>
      <c r="C500" s="2" t="s">
        <v>2288</v>
      </c>
      <c r="D500" s="8" t="s">
        <v>865</v>
      </c>
    </row>
    <row r="501">
      <c r="A501" s="8" t="s">
        <v>2289</v>
      </c>
      <c r="B501" s="2" t="s">
        <v>2290</v>
      </c>
      <c r="C501" s="2" t="s">
        <v>2291</v>
      </c>
      <c r="D501" s="8" t="s">
        <v>811</v>
      </c>
    </row>
    <row r="502">
      <c r="A502" s="8" t="s">
        <v>2292</v>
      </c>
      <c r="B502" s="2" t="s">
        <v>2293</v>
      </c>
      <c r="C502" s="2" t="s">
        <v>2294</v>
      </c>
      <c r="D502" s="8" t="s">
        <v>861</v>
      </c>
    </row>
    <row r="503">
      <c r="A503" s="8" t="s">
        <v>2295</v>
      </c>
      <c r="B503" s="2" t="s">
        <v>2296</v>
      </c>
      <c r="C503" s="2" t="s">
        <v>2297</v>
      </c>
      <c r="D503" s="8" t="s">
        <v>787</v>
      </c>
    </row>
    <row r="504">
      <c r="A504" s="8" t="s">
        <v>2298</v>
      </c>
      <c r="B504" s="2" t="s">
        <v>2299</v>
      </c>
      <c r="C504" s="2" t="s">
        <v>2300</v>
      </c>
      <c r="D504" s="8" t="s">
        <v>861</v>
      </c>
    </row>
    <row r="505">
      <c r="A505" s="8" t="s">
        <v>2301</v>
      </c>
      <c r="B505" s="2" t="s">
        <v>2302</v>
      </c>
      <c r="C505" s="2" t="s">
        <v>2303</v>
      </c>
      <c r="D505" s="8" t="s">
        <v>801</v>
      </c>
    </row>
    <row r="506">
      <c r="A506" s="8" t="s">
        <v>2304</v>
      </c>
      <c r="B506" s="2" t="s">
        <v>2305</v>
      </c>
      <c r="C506" s="2" t="s">
        <v>2306</v>
      </c>
      <c r="D506" s="8" t="s">
        <v>787</v>
      </c>
    </row>
    <row r="507">
      <c r="A507" s="8" t="s">
        <v>2307</v>
      </c>
      <c r="B507" s="2" t="s">
        <v>2308</v>
      </c>
      <c r="C507" s="2" t="s">
        <v>2309</v>
      </c>
      <c r="D507" s="8" t="s">
        <v>811</v>
      </c>
    </row>
    <row r="508">
      <c r="A508" s="8" t="s">
        <v>2310</v>
      </c>
      <c r="B508" s="2" t="s">
        <v>2311</v>
      </c>
      <c r="C508" s="2" t="s">
        <v>2312</v>
      </c>
      <c r="D508" s="8" t="s">
        <v>801</v>
      </c>
    </row>
    <row r="509">
      <c r="A509" s="8" t="s">
        <v>2313</v>
      </c>
      <c r="B509" s="2" t="s">
        <v>2314</v>
      </c>
      <c r="C509" s="2" t="s">
        <v>2315</v>
      </c>
      <c r="D509" s="8" t="s">
        <v>811</v>
      </c>
    </row>
    <row r="510">
      <c r="A510" s="8" t="s">
        <v>2316</v>
      </c>
      <c r="B510" s="2" t="s">
        <v>2317</v>
      </c>
      <c r="C510" s="2" t="s">
        <v>2318</v>
      </c>
      <c r="D510" s="8" t="s">
        <v>801</v>
      </c>
    </row>
    <row r="511">
      <c r="A511" s="8" t="s">
        <v>2319</v>
      </c>
      <c r="B511" s="2" t="s">
        <v>2320</v>
      </c>
      <c r="C511" s="2" t="s">
        <v>2321</v>
      </c>
      <c r="D511" s="8" t="s">
        <v>861</v>
      </c>
    </row>
    <row r="512">
      <c r="A512" s="8" t="s">
        <v>2322</v>
      </c>
      <c r="B512" s="2" t="s">
        <v>2323</v>
      </c>
      <c r="C512" s="2" t="s">
        <v>2324</v>
      </c>
      <c r="D512" s="8" t="s">
        <v>878</v>
      </c>
    </row>
    <row r="513">
      <c r="A513" s="8" t="s">
        <v>2325</v>
      </c>
      <c r="B513" s="2" t="s">
        <v>2326</v>
      </c>
      <c r="C513" s="2" t="s">
        <v>2327</v>
      </c>
      <c r="D513" s="8" t="s">
        <v>787</v>
      </c>
    </row>
    <row r="514">
      <c r="A514" s="8" t="s">
        <v>2328</v>
      </c>
      <c r="B514" s="2" t="s">
        <v>2329</v>
      </c>
      <c r="C514" s="2" t="s">
        <v>2330</v>
      </c>
      <c r="D514" s="8" t="s">
        <v>811</v>
      </c>
    </row>
    <row r="515">
      <c r="A515" s="8" t="s">
        <v>2331</v>
      </c>
      <c r="B515" s="2" t="s">
        <v>2332</v>
      </c>
      <c r="C515" s="2" t="s">
        <v>2333</v>
      </c>
      <c r="D515" s="8" t="s">
        <v>811</v>
      </c>
    </row>
    <row r="516">
      <c r="A516" s="8" t="s">
        <v>2334</v>
      </c>
      <c r="B516" s="2" t="s">
        <v>2335</v>
      </c>
      <c r="C516" s="2" t="s">
        <v>2336</v>
      </c>
      <c r="D516" s="8" t="s">
        <v>827</v>
      </c>
    </row>
    <row r="517">
      <c r="A517" s="8" t="s">
        <v>2337</v>
      </c>
      <c r="B517" s="2" t="s">
        <v>2338</v>
      </c>
      <c r="C517" s="2" t="s">
        <v>2339</v>
      </c>
      <c r="D517" s="8" t="s">
        <v>787</v>
      </c>
    </row>
    <row r="518">
      <c r="A518" s="8" t="s">
        <v>2340</v>
      </c>
      <c r="B518" s="2" t="s">
        <v>2341</v>
      </c>
      <c r="C518" s="2" t="s">
        <v>2342</v>
      </c>
      <c r="D518" s="8" t="s">
        <v>811</v>
      </c>
    </row>
    <row r="519">
      <c r="A519" s="8" t="s">
        <v>2343</v>
      </c>
      <c r="B519" s="2" t="s">
        <v>2344</v>
      </c>
      <c r="C519" s="2" t="s">
        <v>2345</v>
      </c>
      <c r="D519" s="8" t="s">
        <v>865</v>
      </c>
    </row>
    <row r="520">
      <c r="A520" s="8" t="s">
        <v>2346</v>
      </c>
      <c r="B520" s="2" t="s">
        <v>2347</v>
      </c>
      <c r="C520" s="2" t="s">
        <v>2348</v>
      </c>
      <c r="D520" s="8" t="s">
        <v>797</v>
      </c>
    </row>
    <row r="521">
      <c r="A521" s="8" t="s">
        <v>2349</v>
      </c>
      <c r="B521" s="2" t="s">
        <v>2350</v>
      </c>
      <c r="C521" s="2" t="s">
        <v>2351</v>
      </c>
      <c r="D521" s="8" t="s">
        <v>811</v>
      </c>
    </row>
    <row r="522">
      <c r="A522" s="8" t="s">
        <v>2352</v>
      </c>
      <c r="B522" s="2" t="s">
        <v>2353</v>
      </c>
      <c r="C522" s="2" t="s">
        <v>2354</v>
      </c>
      <c r="D522" s="8" t="s">
        <v>797</v>
      </c>
    </row>
    <row r="523">
      <c r="A523" s="8" t="s">
        <v>2355</v>
      </c>
      <c r="B523" s="2" t="s">
        <v>2356</v>
      </c>
      <c r="C523" s="2" t="s">
        <v>2357</v>
      </c>
      <c r="D523" s="8" t="s">
        <v>787</v>
      </c>
    </row>
    <row r="524">
      <c r="A524" s="8" t="s">
        <v>2358</v>
      </c>
      <c r="B524" s="2" t="s">
        <v>2359</v>
      </c>
      <c r="C524" s="2" t="s">
        <v>2360</v>
      </c>
      <c r="D524" s="8" t="s">
        <v>861</v>
      </c>
    </row>
    <row r="525">
      <c r="A525" s="8" t="s">
        <v>2361</v>
      </c>
      <c r="B525" s="2" t="s">
        <v>2362</v>
      </c>
      <c r="C525" s="2" t="s">
        <v>2363</v>
      </c>
      <c r="D525" s="8" t="s">
        <v>865</v>
      </c>
    </row>
    <row r="526">
      <c r="A526" s="8" t="s">
        <v>2364</v>
      </c>
      <c r="B526" s="2" t="s">
        <v>2365</v>
      </c>
      <c r="C526" s="2" t="s">
        <v>2366</v>
      </c>
      <c r="D526" s="8" t="s">
        <v>801</v>
      </c>
    </row>
    <row r="527">
      <c r="A527" s="8" t="s">
        <v>2367</v>
      </c>
      <c r="B527" s="2" t="s">
        <v>2368</v>
      </c>
      <c r="C527" s="2" t="s">
        <v>2369</v>
      </c>
      <c r="D527" s="8" t="s">
        <v>787</v>
      </c>
    </row>
    <row r="528">
      <c r="A528" s="8" t="s">
        <v>2370</v>
      </c>
      <c r="B528" s="2" t="s">
        <v>2371</v>
      </c>
      <c r="C528" s="2" t="s">
        <v>2372</v>
      </c>
      <c r="D528" s="8" t="s">
        <v>861</v>
      </c>
    </row>
    <row r="529">
      <c r="A529" s="8" t="s">
        <v>2373</v>
      </c>
      <c r="B529" s="2" t="s">
        <v>2374</v>
      </c>
      <c r="C529" s="2" t="s">
        <v>2375</v>
      </c>
      <c r="D529" s="8" t="s">
        <v>797</v>
      </c>
    </row>
    <row r="530">
      <c r="A530" s="8" t="s">
        <v>2376</v>
      </c>
      <c r="B530" s="2" t="s">
        <v>2377</v>
      </c>
      <c r="C530" s="2" t="s">
        <v>2378</v>
      </c>
      <c r="D530" s="8" t="s">
        <v>878</v>
      </c>
    </row>
    <row r="531">
      <c r="A531" s="8" t="s">
        <v>2379</v>
      </c>
      <c r="B531" s="2" t="s">
        <v>2380</v>
      </c>
      <c r="C531" s="2" t="s">
        <v>2381</v>
      </c>
      <c r="D531" s="8" t="s">
        <v>787</v>
      </c>
    </row>
    <row r="532">
      <c r="A532" s="8" t="s">
        <v>2382</v>
      </c>
      <c r="B532" s="2" t="s">
        <v>2383</v>
      </c>
      <c r="C532" s="2" t="s">
        <v>2384</v>
      </c>
      <c r="D532" s="8" t="s">
        <v>827</v>
      </c>
    </row>
    <row r="533">
      <c r="A533" s="8" t="s">
        <v>2385</v>
      </c>
      <c r="B533" s="2" t="s">
        <v>2386</v>
      </c>
      <c r="C533" s="2" t="s">
        <v>2387</v>
      </c>
      <c r="D533" s="8" t="s">
        <v>801</v>
      </c>
    </row>
    <row r="534">
      <c r="A534" s="8" t="s">
        <v>2388</v>
      </c>
      <c r="B534" s="2" t="s">
        <v>2389</v>
      </c>
      <c r="C534" s="2" t="s">
        <v>2390</v>
      </c>
      <c r="D534" s="8" t="s">
        <v>865</v>
      </c>
    </row>
    <row r="535">
      <c r="A535" s="8" t="s">
        <v>2391</v>
      </c>
      <c r="B535" s="2" t="s">
        <v>2392</v>
      </c>
      <c r="C535" s="2" t="s">
        <v>2393</v>
      </c>
      <c r="D535" s="8" t="s">
        <v>811</v>
      </c>
    </row>
    <row r="536">
      <c r="A536" s="8" t="s">
        <v>2394</v>
      </c>
      <c r="B536" s="2" t="s">
        <v>2395</v>
      </c>
      <c r="C536" s="2" t="s">
        <v>2396</v>
      </c>
      <c r="D536" s="8" t="s">
        <v>787</v>
      </c>
    </row>
    <row r="537">
      <c r="A537" s="8" t="s">
        <v>2397</v>
      </c>
      <c r="B537" s="2" t="s">
        <v>2398</v>
      </c>
      <c r="C537" s="2" t="s">
        <v>2399</v>
      </c>
      <c r="D537" s="8" t="s">
        <v>801</v>
      </c>
    </row>
    <row r="538">
      <c r="A538" s="8" t="s">
        <v>2400</v>
      </c>
      <c r="B538" s="2" t="s">
        <v>2401</v>
      </c>
      <c r="C538" s="2" t="s">
        <v>2402</v>
      </c>
      <c r="D538" s="8" t="s">
        <v>797</v>
      </c>
    </row>
    <row r="539">
      <c r="A539" s="8" t="s">
        <v>2403</v>
      </c>
      <c r="B539" s="2" t="s">
        <v>2404</v>
      </c>
      <c r="C539" s="2" t="s">
        <v>2405</v>
      </c>
      <c r="D539" s="8" t="s">
        <v>878</v>
      </c>
    </row>
    <row r="540">
      <c r="A540" s="8" t="s">
        <v>2406</v>
      </c>
      <c r="B540" s="2" t="s">
        <v>2407</v>
      </c>
      <c r="C540" s="2" t="s">
        <v>2408</v>
      </c>
      <c r="D540" s="8" t="s">
        <v>811</v>
      </c>
    </row>
    <row r="541">
      <c r="A541" s="8" t="s">
        <v>2409</v>
      </c>
      <c r="B541" s="2" t="s">
        <v>2410</v>
      </c>
      <c r="C541" s="2" t="s">
        <v>2411</v>
      </c>
      <c r="D541" s="8" t="s">
        <v>787</v>
      </c>
    </row>
    <row r="542">
      <c r="A542" s="8" t="s">
        <v>2412</v>
      </c>
      <c r="B542" s="2" t="s">
        <v>2413</v>
      </c>
      <c r="C542" s="2" t="s">
        <v>2414</v>
      </c>
      <c r="D542" s="8" t="s">
        <v>878</v>
      </c>
    </row>
    <row r="543">
      <c r="A543" s="8" t="s">
        <v>2415</v>
      </c>
      <c r="B543" s="2" t="s">
        <v>2416</v>
      </c>
      <c r="C543" s="2" t="s">
        <v>2417</v>
      </c>
      <c r="D543" s="8" t="s">
        <v>801</v>
      </c>
    </row>
    <row r="544">
      <c r="A544" s="8" t="s">
        <v>2418</v>
      </c>
      <c r="B544" s="2" t="s">
        <v>2419</v>
      </c>
      <c r="C544" s="2" t="s">
        <v>2420</v>
      </c>
      <c r="D544" s="8" t="s">
        <v>811</v>
      </c>
    </row>
    <row r="545">
      <c r="A545" s="8" t="s">
        <v>2421</v>
      </c>
      <c r="B545" s="2" t="s">
        <v>2422</v>
      </c>
      <c r="C545" s="2" t="s">
        <v>2423</v>
      </c>
      <c r="D545" s="8" t="s">
        <v>801</v>
      </c>
    </row>
    <row r="546">
      <c r="A546" s="8" t="s">
        <v>2424</v>
      </c>
      <c r="B546" s="2" t="s">
        <v>2425</v>
      </c>
      <c r="C546" s="2" t="s">
        <v>2426</v>
      </c>
      <c r="D546" s="8" t="s">
        <v>865</v>
      </c>
    </row>
    <row r="547">
      <c r="A547" s="8" t="s">
        <v>2427</v>
      </c>
      <c r="B547" s="2" t="s">
        <v>2428</v>
      </c>
      <c r="C547" s="2" t="s">
        <v>2429</v>
      </c>
      <c r="D547" s="8" t="s">
        <v>797</v>
      </c>
    </row>
    <row r="548">
      <c r="A548" s="8" t="s">
        <v>2430</v>
      </c>
      <c r="B548" s="2" t="s">
        <v>2431</v>
      </c>
      <c r="C548" s="2" t="s">
        <v>2432</v>
      </c>
      <c r="D548" s="8" t="s">
        <v>811</v>
      </c>
    </row>
    <row r="549">
      <c r="A549" s="8" t="s">
        <v>2433</v>
      </c>
      <c r="B549" s="2" t="s">
        <v>2434</v>
      </c>
      <c r="C549" s="2" t="s">
        <v>2435</v>
      </c>
      <c r="D549" s="8" t="s">
        <v>801</v>
      </c>
    </row>
    <row r="550">
      <c r="A550" s="8" t="s">
        <v>2436</v>
      </c>
      <c r="B550" s="2" t="s">
        <v>2437</v>
      </c>
      <c r="C550" s="2" t="s">
        <v>2438</v>
      </c>
      <c r="D550" s="8" t="s">
        <v>861</v>
      </c>
    </row>
    <row r="551">
      <c r="A551" s="8" t="s">
        <v>2439</v>
      </c>
      <c r="B551" s="2" t="s">
        <v>2440</v>
      </c>
      <c r="C551" s="2" t="s">
        <v>2441</v>
      </c>
      <c r="D551" s="8" t="s">
        <v>801</v>
      </c>
    </row>
    <row r="552">
      <c r="A552" s="8" t="s">
        <v>2442</v>
      </c>
      <c r="B552" s="2" t="s">
        <v>2443</v>
      </c>
      <c r="C552" s="2" t="s">
        <v>2444</v>
      </c>
      <c r="D552" s="8" t="s">
        <v>801</v>
      </c>
    </row>
    <row r="553">
      <c r="A553" s="8" t="s">
        <v>2445</v>
      </c>
      <c r="B553" s="2" t="s">
        <v>2446</v>
      </c>
      <c r="C553" s="2" t="s">
        <v>2447</v>
      </c>
      <c r="D553" s="8" t="s">
        <v>865</v>
      </c>
    </row>
    <row r="554">
      <c r="A554" s="8" t="s">
        <v>2448</v>
      </c>
      <c r="B554" s="2" t="s">
        <v>2449</v>
      </c>
      <c r="C554" s="2" t="s">
        <v>2450</v>
      </c>
      <c r="D554" s="8" t="s">
        <v>861</v>
      </c>
    </row>
    <row r="555">
      <c r="A555" s="8" t="s">
        <v>2451</v>
      </c>
      <c r="B555" s="2" t="s">
        <v>2452</v>
      </c>
      <c r="C555" s="2" t="s">
        <v>2453</v>
      </c>
      <c r="D555" s="8" t="s">
        <v>827</v>
      </c>
    </row>
    <row r="556">
      <c r="A556" s="8" t="s">
        <v>2454</v>
      </c>
      <c r="B556" s="2" t="s">
        <v>2455</v>
      </c>
      <c r="C556" s="2" t="s">
        <v>2456</v>
      </c>
      <c r="D556" s="8" t="s">
        <v>878</v>
      </c>
    </row>
    <row r="557">
      <c r="A557" s="8" t="s">
        <v>2457</v>
      </c>
      <c r="B557" s="2" t="s">
        <v>2458</v>
      </c>
      <c r="C557" s="2" t="s">
        <v>2459</v>
      </c>
      <c r="D557" s="8" t="s">
        <v>878</v>
      </c>
    </row>
    <row r="558">
      <c r="A558" s="8" t="s">
        <v>2460</v>
      </c>
      <c r="B558" s="2" t="s">
        <v>2461</v>
      </c>
      <c r="C558" s="2" t="s">
        <v>2462</v>
      </c>
      <c r="D558" s="8" t="s">
        <v>811</v>
      </c>
    </row>
    <row r="559">
      <c r="A559" s="8" t="s">
        <v>2463</v>
      </c>
      <c r="B559" s="2" t="s">
        <v>2464</v>
      </c>
      <c r="C559" s="2" t="s">
        <v>2465</v>
      </c>
      <c r="D559" s="8" t="s">
        <v>878</v>
      </c>
    </row>
    <row r="560">
      <c r="A560" s="8" t="s">
        <v>2466</v>
      </c>
      <c r="B560" s="2" t="s">
        <v>2467</v>
      </c>
      <c r="C560" s="2" t="s">
        <v>2468</v>
      </c>
      <c r="D560" s="8" t="s">
        <v>801</v>
      </c>
    </row>
    <row r="561">
      <c r="A561" s="8" t="s">
        <v>2469</v>
      </c>
      <c r="B561" s="2" t="s">
        <v>2470</v>
      </c>
      <c r="C561" s="2" t="s">
        <v>2471</v>
      </c>
      <c r="D561" s="8" t="s">
        <v>811</v>
      </c>
    </row>
    <row r="562">
      <c r="A562" s="8" t="s">
        <v>2472</v>
      </c>
      <c r="B562" s="2" t="s">
        <v>2473</v>
      </c>
      <c r="C562" s="2" t="s">
        <v>2474</v>
      </c>
      <c r="D562" s="8" t="s">
        <v>811</v>
      </c>
    </row>
    <row r="563">
      <c r="A563" s="8" t="s">
        <v>2475</v>
      </c>
      <c r="B563" s="2" t="s">
        <v>2476</v>
      </c>
      <c r="C563" s="2" t="s">
        <v>2477</v>
      </c>
      <c r="D563" s="8" t="s">
        <v>797</v>
      </c>
    </row>
    <row r="564">
      <c r="A564" s="8" t="s">
        <v>2478</v>
      </c>
      <c r="B564" s="2" t="s">
        <v>2479</v>
      </c>
      <c r="C564" s="2" t="s">
        <v>2480</v>
      </c>
      <c r="D564" s="8" t="s">
        <v>811</v>
      </c>
    </row>
    <row r="565">
      <c r="A565" s="8" t="s">
        <v>2481</v>
      </c>
      <c r="B565" s="2" t="s">
        <v>2482</v>
      </c>
      <c r="C565" s="2" t="s">
        <v>2483</v>
      </c>
      <c r="D565" s="8" t="s">
        <v>801</v>
      </c>
    </row>
    <row r="566">
      <c r="A566" s="8" t="s">
        <v>2484</v>
      </c>
      <c r="B566" s="2" t="s">
        <v>2485</v>
      </c>
      <c r="C566" s="2" t="s">
        <v>2486</v>
      </c>
      <c r="D566" s="8" t="s">
        <v>811</v>
      </c>
    </row>
    <row r="567">
      <c r="A567" s="8" t="s">
        <v>2487</v>
      </c>
      <c r="B567" s="2" t="s">
        <v>2488</v>
      </c>
      <c r="C567" s="2" t="s">
        <v>2489</v>
      </c>
      <c r="D567" s="8" t="s">
        <v>827</v>
      </c>
    </row>
    <row r="568">
      <c r="A568" s="8" t="s">
        <v>2490</v>
      </c>
      <c r="B568" s="2" t="s">
        <v>2491</v>
      </c>
      <c r="C568" s="2" t="s">
        <v>2492</v>
      </c>
      <c r="D568" s="8" t="s">
        <v>811</v>
      </c>
    </row>
    <row r="569">
      <c r="A569" s="8" t="s">
        <v>2493</v>
      </c>
      <c r="B569" s="2" t="s">
        <v>2494</v>
      </c>
      <c r="C569" s="2" t="s">
        <v>2495</v>
      </c>
      <c r="D569" s="8" t="s">
        <v>811</v>
      </c>
    </row>
    <row r="570">
      <c r="A570" s="8" t="s">
        <v>2496</v>
      </c>
      <c r="B570" s="2" t="s">
        <v>2497</v>
      </c>
      <c r="C570" s="2" t="s">
        <v>2498</v>
      </c>
      <c r="D570" s="8" t="s">
        <v>811</v>
      </c>
    </row>
    <row r="571">
      <c r="A571" s="8" t="s">
        <v>2499</v>
      </c>
      <c r="B571" s="2" t="s">
        <v>2500</v>
      </c>
      <c r="C571" s="2" t="s">
        <v>2501</v>
      </c>
      <c r="D571" s="8" t="s">
        <v>797</v>
      </c>
    </row>
    <row r="572">
      <c r="A572" s="8" t="s">
        <v>2502</v>
      </c>
      <c r="B572" s="2" t="s">
        <v>2503</v>
      </c>
      <c r="C572" s="2" t="s">
        <v>2504</v>
      </c>
      <c r="D572" s="8" t="s">
        <v>787</v>
      </c>
    </row>
    <row r="573">
      <c r="A573" s="8" t="s">
        <v>2505</v>
      </c>
      <c r="B573" s="2" t="s">
        <v>2506</v>
      </c>
      <c r="C573" s="2" t="s">
        <v>2507</v>
      </c>
      <c r="D573" s="8" t="s">
        <v>878</v>
      </c>
    </row>
    <row r="574">
      <c r="A574" s="8" t="s">
        <v>2508</v>
      </c>
      <c r="B574" s="2" t="s">
        <v>2509</v>
      </c>
      <c r="C574" s="2" t="s">
        <v>2510</v>
      </c>
      <c r="D574" s="8" t="s">
        <v>797</v>
      </c>
    </row>
    <row r="575">
      <c r="A575" s="8" t="s">
        <v>2511</v>
      </c>
      <c r="B575" s="2" t="s">
        <v>2512</v>
      </c>
      <c r="C575" s="2" t="s">
        <v>2513</v>
      </c>
      <c r="D575" s="8" t="s">
        <v>865</v>
      </c>
    </row>
    <row r="576">
      <c r="A576" s="8" t="s">
        <v>2514</v>
      </c>
      <c r="B576" s="2" t="s">
        <v>2515</v>
      </c>
      <c r="C576" s="2" t="s">
        <v>2516</v>
      </c>
      <c r="D576" s="8" t="s">
        <v>865</v>
      </c>
    </row>
    <row r="577">
      <c r="A577" s="8" t="s">
        <v>2517</v>
      </c>
      <c r="B577" s="2" t="s">
        <v>2518</v>
      </c>
      <c r="C577" s="2" t="s">
        <v>2519</v>
      </c>
      <c r="D577" s="8" t="s">
        <v>801</v>
      </c>
    </row>
    <row r="578">
      <c r="A578" s="8" t="s">
        <v>2520</v>
      </c>
      <c r="B578" s="2" t="s">
        <v>2521</v>
      </c>
      <c r="C578" s="2" t="s">
        <v>2522</v>
      </c>
      <c r="D578" s="8" t="s">
        <v>801</v>
      </c>
    </row>
    <row r="579">
      <c r="A579" s="8" t="s">
        <v>2523</v>
      </c>
      <c r="B579" s="2" t="s">
        <v>2524</v>
      </c>
      <c r="C579" s="2" t="s">
        <v>2525</v>
      </c>
      <c r="D579" s="8" t="s">
        <v>865</v>
      </c>
    </row>
    <row r="580">
      <c r="A580" s="8" t="s">
        <v>2526</v>
      </c>
      <c r="B580" s="2" t="s">
        <v>2527</v>
      </c>
      <c r="C580" s="2" t="s">
        <v>2528</v>
      </c>
      <c r="D580" s="8" t="s">
        <v>811</v>
      </c>
    </row>
    <row r="581">
      <c r="A581" s="8" t="s">
        <v>2529</v>
      </c>
      <c r="B581" s="2" t="s">
        <v>2530</v>
      </c>
      <c r="C581" s="2" t="s">
        <v>2531</v>
      </c>
      <c r="D581" s="8" t="s">
        <v>878</v>
      </c>
    </row>
    <row r="582">
      <c r="A582" s="8" t="s">
        <v>2532</v>
      </c>
      <c r="B582" s="2" t="s">
        <v>2533</v>
      </c>
      <c r="C582" s="2" t="s">
        <v>2534</v>
      </c>
      <c r="D582" s="8" t="s">
        <v>801</v>
      </c>
    </row>
    <row r="583">
      <c r="A583" s="8" t="s">
        <v>2535</v>
      </c>
      <c r="B583" s="2" t="s">
        <v>2536</v>
      </c>
      <c r="C583" s="2" t="s">
        <v>2537</v>
      </c>
      <c r="D583" s="8" t="s">
        <v>801</v>
      </c>
    </row>
    <row r="584">
      <c r="A584" s="8" t="s">
        <v>2538</v>
      </c>
      <c r="B584" s="2" t="s">
        <v>2539</v>
      </c>
      <c r="C584" s="2" t="s">
        <v>2540</v>
      </c>
      <c r="D584" s="8" t="s">
        <v>811</v>
      </c>
    </row>
    <row r="585">
      <c r="A585" s="8" t="s">
        <v>2541</v>
      </c>
      <c r="B585" s="2" t="s">
        <v>2542</v>
      </c>
      <c r="C585" s="2" t="s">
        <v>2543</v>
      </c>
      <c r="D585" s="8" t="s">
        <v>811</v>
      </c>
    </row>
    <row r="586">
      <c r="A586" s="8" t="s">
        <v>2544</v>
      </c>
      <c r="B586" s="2" t="s">
        <v>2545</v>
      </c>
      <c r="C586" s="2" t="s">
        <v>2546</v>
      </c>
      <c r="D586" s="8" t="s">
        <v>878</v>
      </c>
    </row>
    <row r="587">
      <c r="A587" s="8" t="s">
        <v>2547</v>
      </c>
      <c r="B587" s="2" t="s">
        <v>2548</v>
      </c>
      <c r="C587" s="2" t="s">
        <v>2549</v>
      </c>
      <c r="D587" s="8" t="s">
        <v>797</v>
      </c>
    </row>
    <row r="588">
      <c r="A588" s="8" t="s">
        <v>2550</v>
      </c>
      <c r="B588" s="2" t="s">
        <v>2551</v>
      </c>
      <c r="C588" s="2" t="s">
        <v>2552</v>
      </c>
      <c r="D588" s="8" t="s">
        <v>801</v>
      </c>
    </row>
    <row r="589">
      <c r="A589" s="8" t="s">
        <v>2553</v>
      </c>
      <c r="B589" s="2" t="s">
        <v>2554</v>
      </c>
      <c r="C589" s="2" t="s">
        <v>2555</v>
      </c>
      <c r="D589" s="8" t="s">
        <v>797</v>
      </c>
    </row>
    <row r="590">
      <c r="A590" s="8" t="s">
        <v>2556</v>
      </c>
      <c r="B590" s="2" t="s">
        <v>2557</v>
      </c>
      <c r="C590" s="2" t="s">
        <v>2558</v>
      </c>
      <c r="D590" s="8" t="s">
        <v>787</v>
      </c>
    </row>
    <row r="591">
      <c r="A591" s="8" t="s">
        <v>2559</v>
      </c>
      <c r="B591" s="2" t="s">
        <v>2560</v>
      </c>
      <c r="C591" s="2" t="s">
        <v>2561</v>
      </c>
      <c r="D591" s="8" t="s">
        <v>811</v>
      </c>
    </row>
    <row r="592">
      <c r="A592" s="8" t="s">
        <v>2562</v>
      </c>
      <c r="B592" s="2" t="s">
        <v>2563</v>
      </c>
      <c r="C592" s="2" t="s">
        <v>2564</v>
      </c>
      <c r="D592" s="8" t="s">
        <v>797</v>
      </c>
    </row>
    <row r="593">
      <c r="A593" s="8" t="s">
        <v>2565</v>
      </c>
      <c r="B593" s="2" t="s">
        <v>2566</v>
      </c>
      <c r="C593" s="2" t="s">
        <v>2567</v>
      </c>
      <c r="D593" s="8" t="s">
        <v>801</v>
      </c>
    </row>
    <row r="594">
      <c r="A594" s="8" t="s">
        <v>2568</v>
      </c>
      <c r="B594" s="2" t="s">
        <v>2569</v>
      </c>
      <c r="C594" s="2" t="s">
        <v>2570</v>
      </c>
      <c r="D594" s="8" t="s">
        <v>878</v>
      </c>
    </row>
    <row r="595">
      <c r="A595" s="8" t="s">
        <v>2571</v>
      </c>
      <c r="B595" s="2" t="s">
        <v>2572</v>
      </c>
      <c r="C595" s="2" t="s">
        <v>2573</v>
      </c>
      <c r="D595" s="8" t="s">
        <v>797</v>
      </c>
    </row>
    <row r="596">
      <c r="A596" s="8" t="s">
        <v>2574</v>
      </c>
      <c r="B596" s="2" t="s">
        <v>2575</v>
      </c>
      <c r="C596" s="2" t="s">
        <v>2576</v>
      </c>
      <c r="D596" s="8" t="s">
        <v>811</v>
      </c>
    </row>
    <row r="597">
      <c r="A597" s="8" t="s">
        <v>2577</v>
      </c>
      <c r="B597" s="2" t="s">
        <v>2578</v>
      </c>
      <c r="C597" s="2" t="s">
        <v>2579</v>
      </c>
      <c r="D597" s="8" t="s">
        <v>878</v>
      </c>
    </row>
    <row r="598">
      <c r="A598" s="8" t="s">
        <v>2580</v>
      </c>
      <c r="B598" s="2" t="s">
        <v>2581</v>
      </c>
      <c r="C598" s="2" t="s">
        <v>2582</v>
      </c>
      <c r="D598" s="8" t="s">
        <v>787</v>
      </c>
    </row>
    <row r="599">
      <c r="A599" s="8" t="s">
        <v>2583</v>
      </c>
      <c r="B599" s="2" t="s">
        <v>2584</v>
      </c>
      <c r="C599" s="2" t="s">
        <v>2585</v>
      </c>
      <c r="D599" s="8" t="s">
        <v>878</v>
      </c>
    </row>
    <row r="600">
      <c r="A600" s="8" t="s">
        <v>2586</v>
      </c>
      <c r="B600" s="2" t="s">
        <v>2587</v>
      </c>
      <c r="C600" s="2" t="s">
        <v>2588</v>
      </c>
      <c r="D600" s="8" t="s">
        <v>865</v>
      </c>
    </row>
    <row r="601">
      <c r="A601" s="8" t="s">
        <v>2589</v>
      </c>
      <c r="B601" s="2" t="s">
        <v>2590</v>
      </c>
      <c r="C601" s="2" t="s">
        <v>2591</v>
      </c>
      <c r="D601" s="8" t="s">
        <v>787</v>
      </c>
    </row>
    <row r="602">
      <c r="A602" s="8" t="s">
        <v>2592</v>
      </c>
      <c r="B602" s="2" t="s">
        <v>2593</v>
      </c>
      <c r="C602" s="2" t="s">
        <v>2594</v>
      </c>
      <c r="D602" s="8" t="s">
        <v>811</v>
      </c>
    </row>
    <row r="603">
      <c r="A603" s="8" t="s">
        <v>2595</v>
      </c>
      <c r="B603" s="2" t="s">
        <v>2596</v>
      </c>
      <c r="C603" s="2" t="s">
        <v>2597</v>
      </c>
      <c r="D603" s="8" t="s">
        <v>878</v>
      </c>
    </row>
    <row r="604">
      <c r="A604" s="8" t="s">
        <v>2598</v>
      </c>
      <c r="B604" s="2" t="s">
        <v>2599</v>
      </c>
      <c r="C604" s="2" t="s">
        <v>2600</v>
      </c>
      <c r="D604" s="8" t="s">
        <v>811</v>
      </c>
    </row>
    <row r="605">
      <c r="A605" s="8" t="s">
        <v>2601</v>
      </c>
      <c r="B605" s="2" t="s">
        <v>2602</v>
      </c>
      <c r="C605" s="2" t="s">
        <v>2603</v>
      </c>
      <c r="D605" s="8" t="s">
        <v>827</v>
      </c>
    </row>
    <row r="606">
      <c r="A606" s="8" t="s">
        <v>2604</v>
      </c>
      <c r="B606" s="2" t="s">
        <v>2605</v>
      </c>
      <c r="C606" s="2" t="s">
        <v>2606</v>
      </c>
      <c r="D606" s="8" t="s">
        <v>801</v>
      </c>
    </row>
    <row r="607">
      <c r="A607" s="8" t="s">
        <v>2607</v>
      </c>
      <c r="B607" s="2" t="s">
        <v>2608</v>
      </c>
      <c r="C607" s="2" t="s">
        <v>2609</v>
      </c>
      <c r="D607" s="8" t="s">
        <v>878</v>
      </c>
    </row>
    <row r="608">
      <c r="A608" s="8" t="s">
        <v>2610</v>
      </c>
      <c r="B608" s="2" t="s">
        <v>2611</v>
      </c>
      <c r="C608" s="2" t="s">
        <v>2612</v>
      </c>
      <c r="D608" s="8" t="s">
        <v>801</v>
      </c>
    </row>
    <row r="609">
      <c r="A609" s="8" t="s">
        <v>2613</v>
      </c>
      <c r="B609" s="2" t="s">
        <v>2614</v>
      </c>
      <c r="C609" s="2" t="s">
        <v>2615</v>
      </c>
      <c r="D609" s="8" t="s">
        <v>801</v>
      </c>
    </row>
    <row r="610">
      <c r="A610" s="8" t="s">
        <v>2616</v>
      </c>
      <c r="B610" s="2" t="s">
        <v>2617</v>
      </c>
      <c r="C610" s="2" t="s">
        <v>2618</v>
      </c>
      <c r="D610" s="8" t="s">
        <v>801</v>
      </c>
    </row>
    <row r="611">
      <c r="A611" s="8" t="s">
        <v>2619</v>
      </c>
      <c r="B611" s="2" t="s">
        <v>2620</v>
      </c>
      <c r="C611" s="2" t="s">
        <v>2621</v>
      </c>
      <c r="D611" s="8" t="s">
        <v>827</v>
      </c>
    </row>
    <row r="612">
      <c r="A612" s="8" t="s">
        <v>2622</v>
      </c>
      <c r="B612" s="2" t="s">
        <v>2623</v>
      </c>
      <c r="C612" s="2" t="s">
        <v>2624</v>
      </c>
      <c r="D612" s="8" t="s">
        <v>811</v>
      </c>
    </row>
    <row r="613">
      <c r="A613" s="8" t="s">
        <v>2625</v>
      </c>
      <c r="B613" s="2" t="s">
        <v>2626</v>
      </c>
      <c r="C613" s="2" t="s">
        <v>2627</v>
      </c>
      <c r="D613" s="8" t="s">
        <v>801</v>
      </c>
    </row>
    <row r="614">
      <c r="A614" s="8" t="s">
        <v>2628</v>
      </c>
      <c r="B614" s="2" t="s">
        <v>2629</v>
      </c>
      <c r="C614" s="2" t="s">
        <v>2630</v>
      </c>
      <c r="D614" s="8" t="s">
        <v>801</v>
      </c>
    </row>
    <row r="615">
      <c r="A615" s="8" t="s">
        <v>2631</v>
      </c>
      <c r="B615" s="2" t="s">
        <v>2632</v>
      </c>
      <c r="C615" s="2" t="s">
        <v>2633</v>
      </c>
      <c r="D615" s="8" t="s">
        <v>865</v>
      </c>
    </row>
    <row r="616">
      <c r="A616" s="8" t="s">
        <v>2634</v>
      </c>
      <c r="B616" s="2" t="s">
        <v>2635</v>
      </c>
      <c r="C616" s="2" t="s">
        <v>2636</v>
      </c>
      <c r="D616" s="8" t="s">
        <v>827</v>
      </c>
    </row>
    <row r="617">
      <c r="A617" s="8" t="s">
        <v>2637</v>
      </c>
      <c r="B617" s="2" t="s">
        <v>2638</v>
      </c>
      <c r="C617" s="2" t="s">
        <v>2639</v>
      </c>
      <c r="D617" s="8" t="s">
        <v>811</v>
      </c>
    </row>
    <row r="618">
      <c r="A618" s="8" t="s">
        <v>2640</v>
      </c>
      <c r="B618" s="2" t="s">
        <v>2641</v>
      </c>
      <c r="C618" s="2" t="s">
        <v>2642</v>
      </c>
      <c r="D618" s="8" t="s">
        <v>801</v>
      </c>
    </row>
    <row r="619">
      <c r="A619" s="8" t="s">
        <v>2643</v>
      </c>
      <c r="B619" s="2" t="s">
        <v>2644</v>
      </c>
      <c r="C619" s="2" t="s">
        <v>2645</v>
      </c>
      <c r="D619" s="8" t="s">
        <v>801</v>
      </c>
    </row>
    <row r="620">
      <c r="A620" s="8" t="s">
        <v>2646</v>
      </c>
      <c r="B620" s="2" t="s">
        <v>2647</v>
      </c>
      <c r="C620" s="2" t="s">
        <v>2648</v>
      </c>
      <c r="D620" s="8" t="s">
        <v>861</v>
      </c>
    </row>
    <row r="621">
      <c r="A621" s="8" t="s">
        <v>2649</v>
      </c>
      <c r="B621" s="2" t="s">
        <v>2650</v>
      </c>
      <c r="C621" s="2" t="s">
        <v>2651</v>
      </c>
      <c r="D621" s="8" t="s">
        <v>801</v>
      </c>
    </row>
    <row r="622">
      <c r="A622" s="8" t="s">
        <v>2652</v>
      </c>
      <c r="B622" s="2" t="s">
        <v>2653</v>
      </c>
      <c r="C622" s="2" t="s">
        <v>2654</v>
      </c>
      <c r="D622" s="8" t="s">
        <v>811</v>
      </c>
    </row>
    <row r="623">
      <c r="A623" s="8" t="s">
        <v>2655</v>
      </c>
      <c r="B623" s="2" t="s">
        <v>2656</v>
      </c>
      <c r="C623" s="2" t="s">
        <v>2657</v>
      </c>
      <c r="D623" s="8" t="s">
        <v>801</v>
      </c>
    </row>
    <row r="624">
      <c r="A624" s="8" t="s">
        <v>2658</v>
      </c>
      <c r="B624" s="2" t="s">
        <v>2659</v>
      </c>
      <c r="C624" s="2" t="s">
        <v>2660</v>
      </c>
      <c r="D624" s="8" t="s">
        <v>827</v>
      </c>
    </row>
    <row r="625">
      <c r="A625" s="8" t="s">
        <v>2661</v>
      </c>
      <c r="B625" s="2" t="s">
        <v>2662</v>
      </c>
      <c r="C625" s="2" t="s">
        <v>2663</v>
      </c>
      <c r="D625" s="8" t="s">
        <v>801</v>
      </c>
    </row>
    <row r="626">
      <c r="A626" s="8" t="s">
        <v>2664</v>
      </c>
      <c r="B626" s="2" t="s">
        <v>2665</v>
      </c>
      <c r="C626" s="2" t="s">
        <v>2666</v>
      </c>
      <c r="D626" s="8" t="s">
        <v>827</v>
      </c>
    </row>
    <row r="627">
      <c r="A627" s="8" t="s">
        <v>2667</v>
      </c>
      <c r="B627" s="2" t="s">
        <v>2668</v>
      </c>
      <c r="C627" s="2" t="s">
        <v>2669</v>
      </c>
      <c r="D627" s="8" t="s">
        <v>801</v>
      </c>
    </row>
    <row r="628">
      <c r="A628" s="8" t="s">
        <v>2670</v>
      </c>
      <c r="B628" s="2" t="s">
        <v>2671</v>
      </c>
      <c r="C628" s="2" t="s">
        <v>2672</v>
      </c>
      <c r="D628" s="8" t="s">
        <v>801</v>
      </c>
    </row>
    <row r="629">
      <c r="A629" s="8" t="s">
        <v>2673</v>
      </c>
      <c r="B629" s="2" t="s">
        <v>2674</v>
      </c>
      <c r="C629" s="2" t="s">
        <v>2675</v>
      </c>
      <c r="D629" s="8" t="s">
        <v>861</v>
      </c>
    </row>
    <row r="630">
      <c r="A630" s="8" t="s">
        <v>2676</v>
      </c>
      <c r="B630" s="2" t="s">
        <v>2677</v>
      </c>
      <c r="C630" s="2" t="s">
        <v>2678</v>
      </c>
      <c r="D630" s="8" t="s">
        <v>865</v>
      </c>
    </row>
    <row r="631">
      <c r="A631" s="8" t="s">
        <v>2679</v>
      </c>
      <c r="B631" s="2" t="s">
        <v>2680</v>
      </c>
      <c r="C631" s="2" t="s">
        <v>2681</v>
      </c>
      <c r="D631" s="8" t="s">
        <v>787</v>
      </c>
    </row>
    <row r="632">
      <c r="A632" s="8" t="s">
        <v>2682</v>
      </c>
      <c r="B632" s="2" t="s">
        <v>2683</v>
      </c>
      <c r="C632" s="2" t="s">
        <v>2684</v>
      </c>
      <c r="D632" s="8" t="s">
        <v>811</v>
      </c>
    </row>
    <row r="633">
      <c r="A633" s="8" t="s">
        <v>2685</v>
      </c>
      <c r="B633" s="2" t="s">
        <v>2686</v>
      </c>
      <c r="C633" s="2" t="s">
        <v>2687</v>
      </c>
      <c r="D633" s="8" t="s">
        <v>878</v>
      </c>
    </row>
    <row r="634">
      <c r="A634" s="8" t="s">
        <v>2688</v>
      </c>
      <c r="B634" s="2" t="s">
        <v>2689</v>
      </c>
      <c r="C634" s="2" t="s">
        <v>2690</v>
      </c>
      <c r="D634" s="8" t="s">
        <v>811</v>
      </c>
    </row>
    <row r="635">
      <c r="A635" s="8" t="s">
        <v>2691</v>
      </c>
      <c r="B635" s="2" t="s">
        <v>2692</v>
      </c>
      <c r="C635" s="2" t="s">
        <v>2693</v>
      </c>
      <c r="D635" s="8" t="s">
        <v>787</v>
      </c>
    </row>
    <row r="636">
      <c r="A636" s="8" t="s">
        <v>2694</v>
      </c>
      <c r="B636" s="2" t="s">
        <v>2695</v>
      </c>
      <c r="C636" s="2" t="s">
        <v>2696</v>
      </c>
      <c r="D636" s="8" t="s">
        <v>801</v>
      </c>
    </row>
    <row r="637">
      <c r="A637" s="8" t="s">
        <v>2697</v>
      </c>
      <c r="B637" s="2" t="s">
        <v>2698</v>
      </c>
      <c r="C637" s="2" t="s">
        <v>2699</v>
      </c>
      <c r="D637" s="8" t="s">
        <v>865</v>
      </c>
    </row>
    <row r="638">
      <c r="A638" s="8" t="s">
        <v>2700</v>
      </c>
      <c r="B638" s="2" t="s">
        <v>2701</v>
      </c>
      <c r="C638" s="2" t="s">
        <v>2702</v>
      </c>
      <c r="D638" s="8" t="s">
        <v>878</v>
      </c>
    </row>
    <row r="639">
      <c r="A639" s="8" t="s">
        <v>2703</v>
      </c>
      <c r="B639" s="2" t="s">
        <v>2704</v>
      </c>
      <c r="C639" s="2" t="s">
        <v>2705</v>
      </c>
      <c r="D639" s="8" t="s">
        <v>811</v>
      </c>
    </row>
    <row r="640">
      <c r="A640" s="8" t="s">
        <v>2706</v>
      </c>
      <c r="B640" s="2" t="s">
        <v>2707</v>
      </c>
      <c r="C640" s="2" t="s">
        <v>2708</v>
      </c>
      <c r="D640" s="8" t="s">
        <v>811</v>
      </c>
    </row>
    <row r="641">
      <c r="A641" s="8" t="s">
        <v>2709</v>
      </c>
      <c r="B641" s="2" t="s">
        <v>2710</v>
      </c>
      <c r="C641" s="2" t="s">
        <v>2711</v>
      </c>
      <c r="D641" s="8" t="s">
        <v>865</v>
      </c>
    </row>
    <row r="642">
      <c r="A642" s="8" t="s">
        <v>2712</v>
      </c>
      <c r="B642" s="2" t="s">
        <v>2713</v>
      </c>
      <c r="C642" s="2" t="s">
        <v>2714</v>
      </c>
      <c r="D642" s="8" t="s">
        <v>811</v>
      </c>
    </row>
    <row r="643">
      <c r="A643" s="8" t="s">
        <v>2715</v>
      </c>
      <c r="B643" s="2" t="s">
        <v>2716</v>
      </c>
      <c r="C643" s="2" t="s">
        <v>2717</v>
      </c>
      <c r="D643" s="8" t="s">
        <v>811</v>
      </c>
    </row>
    <row r="644">
      <c r="A644" s="8" t="s">
        <v>2718</v>
      </c>
      <c r="B644" s="2" t="s">
        <v>2719</v>
      </c>
      <c r="C644" s="2" t="s">
        <v>2720</v>
      </c>
      <c r="D644" s="8" t="s">
        <v>827</v>
      </c>
    </row>
    <row r="645">
      <c r="A645" s="8" t="s">
        <v>2721</v>
      </c>
      <c r="B645" s="2" t="s">
        <v>2722</v>
      </c>
      <c r="C645" s="2" t="s">
        <v>2723</v>
      </c>
      <c r="D645" s="8" t="s">
        <v>878</v>
      </c>
    </row>
    <row r="646">
      <c r="A646" s="8" t="s">
        <v>2724</v>
      </c>
      <c r="B646" s="2" t="s">
        <v>2725</v>
      </c>
      <c r="C646" s="2" t="s">
        <v>2726</v>
      </c>
      <c r="D646" s="8" t="s">
        <v>787</v>
      </c>
    </row>
    <row r="647">
      <c r="A647" s="8" t="s">
        <v>2727</v>
      </c>
      <c r="B647" s="2" t="s">
        <v>2728</v>
      </c>
      <c r="C647" s="2" t="s">
        <v>2729</v>
      </c>
      <c r="D647" s="8" t="s">
        <v>801</v>
      </c>
    </row>
    <row r="648">
      <c r="A648" s="8" t="s">
        <v>2730</v>
      </c>
      <c r="B648" s="2" t="s">
        <v>2731</v>
      </c>
      <c r="C648" s="2" t="s">
        <v>2732</v>
      </c>
      <c r="D648" s="8" t="s">
        <v>861</v>
      </c>
    </row>
    <row r="649">
      <c r="A649" s="8" t="s">
        <v>2733</v>
      </c>
      <c r="B649" s="2" t="s">
        <v>2734</v>
      </c>
      <c r="C649" s="2" t="s">
        <v>2735</v>
      </c>
      <c r="D649" s="8" t="s">
        <v>861</v>
      </c>
    </row>
    <row r="650">
      <c r="A650" s="8" t="s">
        <v>2736</v>
      </c>
      <c r="B650" s="2" t="s">
        <v>2737</v>
      </c>
      <c r="C650" s="2" t="s">
        <v>2738</v>
      </c>
      <c r="D650" s="8" t="s">
        <v>827</v>
      </c>
    </row>
    <row r="651">
      <c r="A651" s="8" t="s">
        <v>2739</v>
      </c>
      <c r="B651" s="2" t="s">
        <v>2740</v>
      </c>
      <c r="C651" s="2" t="s">
        <v>2741</v>
      </c>
      <c r="D651" s="8" t="s">
        <v>865</v>
      </c>
    </row>
    <row r="652">
      <c r="A652" s="8" t="s">
        <v>2742</v>
      </c>
      <c r="B652" s="2" t="s">
        <v>2743</v>
      </c>
      <c r="C652" s="2" t="s">
        <v>2744</v>
      </c>
      <c r="D652" s="8" t="s">
        <v>811</v>
      </c>
    </row>
    <row r="653">
      <c r="A653" s="8" t="s">
        <v>2745</v>
      </c>
      <c r="B653" s="2" t="s">
        <v>2746</v>
      </c>
      <c r="C653" s="2" t="s">
        <v>2747</v>
      </c>
      <c r="D653" s="8" t="s">
        <v>787</v>
      </c>
    </row>
    <row r="654">
      <c r="A654" s="8" t="s">
        <v>2748</v>
      </c>
      <c r="B654" s="2" t="s">
        <v>2749</v>
      </c>
      <c r="C654" s="2" t="s">
        <v>2750</v>
      </c>
      <c r="D654" s="8" t="s">
        <v>865</v>
      </c>
    </row>
    <row r="655">
      <c r="A655" s="8" t="s">
        <v>2751</v>
      </c>
      <c r="B655" s="2" t="s">
        <v>2752</v>
      </c>
      <c r="C655" s="2" t="s">
        <v>2753</v>
      </c>
      <c r="D655" s="8" t="s">
        <v>811</v>
      </c>
    </row>
    <row r="656">
      <c r="A656" s="8" t="s">
        <v>2754</v>
      </c>
      <c r="B656" s="2" t="s">
        <v>2755</v>
      </c>
      <c r="C656" s="2" t="s">
        <v>2756</v>
      </c>
      <c r="D656" s="8" t="s">
        <v>797</v>
      </c>
    </row>
    <row r="657">
      <c r="A657" s="8" t="s">
        <v>2757</v>
      </c>
      <c r="B657" s="2" t="s">
        <v>2758</v>
      </c>
      <c r="C657" s="2" t="s">
        <v>2759</v>
      </c>
      <c r="D657" s="8" t="s">
        <v>787</v>
      </c>
    </row>
    <row r="658">
      <c r="A658" s="8" t="s">
        <v>2760</v>
      </c>
      <c r="B658" s="2" t="s">
        <v>2761</v>
      </c>
      <c r="C658" s="2" t="s">
        <v>2762</v>
      </c>
      <c r="D658" s="8" t="s">
        <v>787</v>
      </c>
    </row>
    <row r="659">
      <c r="A659" s="8" t="s">
        <v>2763</v>
      </c>
      <c r="B659" s="2" t="s">
        <v>2764</v>
      </c>
      <c r="C659" s="2" t="s">
        <v>2765</v>
      </c>
      <c r="D659" s="8" t="s">
        <v>811</v>
      </c>
    </row>
    <row r="660">
      <c r="A660" s="8" t="s">
        <v>2766</v>
      </c>
      <c r="B660" s="2" t="s">
        <v>2767</v>
      </c>
      <c r="C660" s="2" t="s">
        <v>2768</v>
      </c>
      <c r="D660" s="8" t="s">
        <v>865</v>
      </c>
    </row>
    <row r="661">
      <c r="A661" s="8" t="s">
        <v>2769</v>
      </c>
      <c r="B661" s="2" t="s">
        <v>2770</v>
      </c>
      <c r="C661" s="2" t="s">
        <v>2771</v>
      </c>
      <c r="D661" s="8" t="s">
        <v>861</v>
      </c>
    </row>
    <row r="662">
      <c r="A662" s="8" t="s">
        <v>2772</v>
      </c>
      <c r="B662" s="2" t="s">
        <v>2773</v>
      </c>
      <c r="C662" s="2" t="s">
        <v>2774</v>
      </c>
      <c r="D662" s="8" t="s">
        <v>865</v>
      </c>
    </row>
    <row r="663">
      <c r="A663" s="8" t="s">
        <v>2775</v>
      </c>
      <c r="B663" s="2" t="s">
        <v>2776</v>
      </c>
      <c r="C663" s="2" t="s">
        <v>2777</v>
      </c>
      <c r="D663" s="8" t="s">
        <v>865</v>
      </c>
    </row>
    <row r="664">
      <c r="A664" s="8" t="s">
        <v>2778</v>
      </c>
      <c r="B664" s="2" t="s">
        <v>2779</v>
      </c>
      <c r="C664" s="2" t="s">
        <v>2780</v>
      </c>
      <c r="D664" s="8" t="s">
        <v>865</v>
      </c>
    </row>
    <row r="665">
      <c r="A665" s="8" t="s">
        <v>2781</v>
      </c>
      <c r="B665" s="2" t="s">
        <v>2782</v>
      </c>
      <c r="C665" s="2" t="s">
        <v>2783</v>
      </c>
      <c r="D665" s="8" t="s">
        <v>865</v>
      </c>
    </row>
    <row r="666">
      <c r="A666" s="8" t="s">
        <v>2784</v>
      </c>
      <c r="B666" s="2" t="s">
        <v>2785</v>
      </c>
      <c r="C666" s="2" t="s">
        <v>2786</v>
      </c>
      <c r="D666" s="8" t="s">
        <v>861</v>
      </c>
    </row>
    <row r="667">
      <c r="A667" s="8" t="s">
        <v>2787</v>
      </c>
      <c r="B667" s="2" t="s">
        <v>2788</v>
      </c>
      <c r="C667" s="2" t="s">
        <v>2789</v>
      </c>
      <c r="D667" s="8" t="s">
        <v>811</v>
      </c>
    </row>
    <row r="668">
      <c r="A668" s="8" t="s">
        <v>2790</v>
      </c>
      <c r="B668" s="2" t="s">
        <v>2791</v>
      </c>
      <c r="C668" s="2" t="s">
        <v>2792</v>
      </c>
      <c r="D668" s="8" t="s">
        <v>797</v>
      </c>
    </row>
    <row r="669">
      <c r="A669" s="8" t="s">
        <v>2793</v>
      </c>
      <c r="B669" s="2" t="s">
        <v>2794</v>
      </c>
      <c r="C669" s="2" t="s">
        <v>2795</v>
      </c>
      <c r="D669" s="8" t="s">
        <v>787</v>
      </c>
    </row>
    <row r="670">
      <c r="A670" s="8" t="s">
        <v>2796</v>
      </c>
      <c r="B670" s="2" t="s">
        <v>2797</v>
      </c>
      <c r="C670" s="2" t="s">
        <v>2798</v>
      </c>
      <c r="D670" s="8" t="s">
        <v>861</v>
      </c>
    </row>
    <row r="671">
      <c r="A671" s="8" t="s">
        <v>2799</v>
      </c>
      <c r="B671" s="2" t="s">
        <v>2800</v>
      </c>
      <c r="C671" s="2" t="s">
        <v>2801</v>
      </c>
      <c r="D671" s="8" t="s">
        <v>787</v>
      </c>
    </row>
    <row r="672">
      <c r="A672" s="8" t="s">
        <v>2802</v>
      </c>
      <c r="B672" s="2" t="s">
        <v>2803</v>
      </c>
      <c r="C672" s="2" t="s">
        <v>2804</v>
      </c>
      <c r="D672" s="8" t="s">
        <v>827</v>
      </c>
    </row>
    <row r="673">
      <c r="A673" s="8" t="s">
        <v>2805</v>
      </c>
      <c r="B673" s="2" t="s">
        <v>2806</v>
      </c>
      <c r="C673" s="2" t="s">
        <v>2807</v>
      </c>
      <c r="D673" s="8" t="s">
        <v>801</v>
      </c>
    </row>
    <row r="674">
      <c r="A674" s="8" t="s">
        <v>2808</v>
      </c>
      <c r="B674" s="2" t="s">
        <v>2809</v>
      </c>
      <c r="C674" s="2" t="s">
        <v>2810</v>
      </c>
      <c r="D674" s="8" t="s">
        <v>801</v>
      </c>
    </row>
    <row r="675">
      <c r="A675" s="8" t="s">
        <v>2811</v>
      </c>
      <c r="B675" s="2" t="s">
        <v>2812</v>
      </c>
      <c r="C675" s="2" t="s">
        <v>2813</v>
      </c>
      <c r="D675" s="8" t="s">
        <v>801</v>
      </c>
    </row>
    <row r="676">
      <c r="A676" s="8" t="s">
        <v>2814</v>
      </c>
      <c r="B676" s="2" t="s">
        <v>2815</v>
      </c>
      <c r="C676" s="2" t="s">
        <v>2816</v>
      </c>
      <c r="D676" s="8" t="s">
        <v>827</v>
      </c>
    </row>
    <row r="677">
      <c r="A677" s="8" t="s">
        <v>2817</v>
      </c>
      <c r="B677" s="2" t="s">
        <v>2818</v>
      </c>
      <c r="C677" s="2" t="s">
        <v>2819</v>
      </c>
      <c r="D677" s="8" t="s">
        <v>827</v>
      </c>
    </row>
    <row r="678">
      <c r="A678" s="8" t="s">
        <v>2820</v>
      </c>
      <c r="B678" s="2" t="s">
        <v>2821</v>
      </c>
      <c r="C678" s="2" t="s">
        <v>2822</v>
      </c>
      <c r="D678" s="8" t="s">
        <v>811</v>
      </c>
    </row>
    <row r="679">
      <c r="A679" s="8" t="s">
        <v>2823</v>
      </c>
      <c r="B679" s="2" t="s">
        <v>2824</v>
      </c>
      <c r="C679" s="2" t="s">
        <v>2825</v>
      </c>
      <c r="D679" s="8" t="s">
        <v>811</v>
      </c>
    </row>
    <row r="680">
      <c r="A680" s="8" t="s">
        <v>2826</v>
      </c>
      <c r="B680" s="2" t="s">
        <v>2827</v>
      </c>
      <c r="C680" s="2" t="s">
        <v>2828</v>
      </c>
      <c r="D680" s="8" t="s">
        <v>878</v>
      </c>
    </row>
    <row r="681">
      <c r="A681" s="8" t="s">
        <v>2829</v>
      </c>
      <c r="B681" s="2" t="s">
        <v>2830</v>
      </c>
      <c r="C681" s="2" t="s">
        <v>2831</v>
      </c>
      <c r="D681" s="8" t="s">
        <v>797</v>
      </c>
    </row>
    <row r="682">
      <c r="A682" s="8" t="s">
        <v>2832</v>
      </c>
      <c r="B682" s="2" t="s">
        <v>2833</v>
      </c>
      <c r="C682" s="2" t="s">
        <v>2834</v>
      </c>
      <c r="D682" s="8" t="s">
        <v>801</v>
      </c>
    </row>
    <row r="683">
      <c r="A683" s="8" t="s">
        <v>2835</v>
      </c>
      <c r="B683" s="2" t="s">
        <v>2836</v>
      </c>
      <c r="C683" s="2" t="s">
        <v>2837</v>
      </c>
      <c r="D683" s="8" t="s">
        <v>811</v>
      </c>
    </row>
    <row r="684">
      <c r="A684" s="8" t="s">
        <v>2838</v>
      </c>
      <c r="B684" s="2" t="s">
        <v>2839</v>
      </c>
      <c r="C684" s="2" t="s">
        <v>2840</v>
      </c>
      <c r="D684" s="8" t="s">
        <v>801</v>
      </c>
    </row>
    <row r="685">
      <c r="A685" s="8" t="s">
        <v>2841</v>
      </c>
      <c r="B685" s="2" t="s">
        <v>2842</v>
      </c>
      <c r="C685" s="2" t="s">
        <v>2843</v>
      </c>
      <c r="D685" s="8" t="s">
        <v>797</v>
      </c>
    </row>
    <row r="686">
      <c r="A686" s="8" t="s">
        <v>2844</v>
      </c>
      <c r="B686" s="2" t="s">
        <v>2845</v>
      </c>
      <c r="C686" s="2" t="s">
        <v>2846</v>
      </c>
      <c r="D686" s="8" t="s">
        <v>811</v>
      </c>
    </row>
    <row r="687">
      <c r="A687" s="8" t="s">
        <v>2847</v>
      </c>
      <c r="B687" s="2" t="s">
        <v>2848</v>
      </c>
      <c r="C687" s="2" t="s">
        <v>2849</v>
      </c>
      <c r="D687" s="8" t="s">
        <v>801</v>
      </c>
    </row>
    <row r="688">
      <c r="A688" s="8" t="s">
        <v>2850</v>
      </c>
      <c r="B688" s="2" t="s">
        <v>2851</v>
      </c>
      <c r="C688" s="2" t="s">
        <v>2852</v>
      </c>
      <c r="D688" s="8" t="s">
        <v>865</v>
      </c>
    </row>
    <row r="689">
      <c r="A689" s="8" t="s">
        <v>2853</v>
      </c>
      <c r="B689" s="2" t="s">
        <v>2854</v>
      </c>
      <c r="C689" s="2" t="s">
        <v>2855</v>
      </c>
      <c r="D689" s="8" t="s">
        <v>878</v>
      </c>
    </row>
    <row r="690">
      <c r="A690" s="8" t="s">
        <v>2856</v>
      </c>
      <c r="B690" s="2" t="s">
        <v>2857</v>
      </c>
      <c r="C690" s="2" t="s">
        <v>2858</v>
      </c>
      <c r="D690" s="8" t="s">
        <v>787</v>
      </c>
    </row>
    <row r="691">
      <c r="A691" s="8" t="s">
        <v>2859</v>
      </c>
      <c r="B691" s="2" t="s">
        <v>2860</v>
      </c>
      <c r="C691" s="2" t="s">
        <v>2861</v>
      </c>
      <c r="D691" s="8" t="s">
        <v>811</v>
      </c>
    </row>
    <row r="692">
      <c r="A692" s="8" t="s">
        <v>2862</v>
      </c>
      <c r="B692" s="2" t="s">
        <v>2863</v>
      </c>
      <c r="C692" s="2" t="s">
        <v>2864</v>
      </c>
      <c r="D692" s="8" t="s">
        <v>801</v>
      </c>
    </row>
    <row r="693">
      <c r="A693" s="8" t="s">
        <v>2865</v>
      </c>
      <c r="B693" s="2" t="s">
        <v>2866</v>
      </c>
      <c r="C693" s="2" t="s">
        <v>2867</v>
      </c>
      <c r="D693" s="8" t="s">
        <v>801</v>
      </c>
    </row>
    <row r="694">
      <c r="A694" s="8" t="s">
        <v>2868</v>
      </c>
      <c r="B694" s="2" t="s">
        <v>2869</v>
      </c>
      <c r="C694" s="2" t="s">
        <v>2870</v>
      </c>
      <c r="D694" s="8" t="s">
        <v>865</v>
      </c>
    </row>
    <row r="695">
      <c r="A695" s="8" t="s">
        <v>2871</v>
      </c>
      <c r="B695" s="2" t="s">
        <v>2872</v>
      </c>
      <c r="C695" s="2" t="s">
        <v>2873</v>
      </c>
      <c r="D695" s="8" t="s">
        <v>787</v>
      </c>
    </row>
    <row r="696">
      <c r="A696" s="8" t="s">
        <v>2874</v>
      </c>
      <c r="B696" s="2" t="s">
        <v>2875</v>
      </c>
      <c r="C696" s="2" t="s">
        <v>2876</v>
      </c>
      <c r="D696" s="8" t="s">
        <v>878</v>
      </c>
    </row>
    <row r="697">
      <c r="A697" s="8" t="s">
        <v>2877</v>
      </c>
      <c r="B697" s="2" t="s">
        <v>2878</v>
      </c>
      <c r="C697" s="2" t="s">
        <v>2879</v>
      </c>
      <c r="D697" s="8" t="s">
        <v>811</v>
      </c>
    </row>
    <row r="698">
      <c r="A698" s="8" t="s">
        <v>2880</v>
      </c>
      <c r="B698" s="2" t="s">
        <v>2881</v>
      </c>
      <c r="C698" s="2" t="s">
        <v>2882</v>
      </c>
      <c r="D698" s="8" t="s">
        <v>811</v>
      </c>
    </row>
    <row r="699">
      <c r="A699" s="8" t="s">
        <v>2883</v>
      </c>
      <c r="B699" s="2" t="s">
        <v>2884</v>
      </c>
      <c r="C699" s="2" t="s">
        <v>2885</v>
      </c>
      <c r="D699" s="8" t="s">
        <v>827</v>
      </c>
    </row>
    <row r="700">
      <c r="A700" s="8" t="s">
        <v>2886</v>
      </c>
      <c r="B700" s="2" t="s">
        <v>2887</v>
      </c>
      <c r="C700" s="2" t="s">
        <v>2888</v>
      </c>
      <c r="D700" s="8" t="s">
        <v>801</v>
      </c>
    </row>
    <row r="701">
      <c r="A701" s="8" t="s">
        <v>2889</v>
      </c>
      <c r="B701" s="2" t="s">
        <v>2890</v>
      </c>
      <c r="C701" s="2" t="s">
        <v>2891</v>
      </c>
      <c r="D701" s="8" t="s">
        <v>827</v>
      </c>
    </row>
    <row r="702">
      <c r="A702" s="8" t="s">
        <v>2892</v>
      </c>
      <c r="B702" s="2" t="s">
        <v>2893</v>
      </c>
      <c r="C702" s="2" t="s">
        <v>2894</v>
      </c>
      <c r="D702" s="8" t="s">
        <v>797</v>
      </c>
    </row>
    <row r="703">
      <c r="A703" s="8" t="s">
        <v>2895</v>
      </c>
      <c r="B703" s="2" t="s">
        <v>2896</v>
      </c>
      <c r="C703" s="2" t="s">
        <v>2897</v>
      </c>
      <c r="D703" s="8" t="s">
        <v>811</v>
      </c>
    </row>
    <row r="704">
      <c r="A704" s="8" t="s">
        <v>2898</v>
      </c>
      <c r="B704" s="2" t="s">
        <v>2899</v>
      </c>
      <c r="C704" s="2" t="s">
        <v>2900</v>
      </c>
      <c r="D704" s="8" t="s">
        <v>827</v>
      </c>
    </row>
    <row r="705">
      <c r="A705" s="8" t="s">
        <v>2901</v>
      </c>
      <c r="B705" s="2" t="s">
        <v>2902</v>
      </c>
      <c r="C705" s="2" t="s">
        <v>2903</v>
      </c>
      <c r="D705" s="8" t="s">
        <v>811</v>
      </c>
    </row>
    <row r="706">
      <c r="A706" s="8" t="s">
        <v>2904</v>
      </c>
      <c r="B706" s="2" t="s">
        <v>2905</v>
      </c>
      <c r="C706" s="2" t="s">
        <v>2906</v>
      </c>
      <c r="D706" s="8" t="s">
        <v>797</v>
      </c>
    </row>
    <row r="707">
      <c r="A707" s="8" t="s">
        <v>2907</v>
      </c>
      <c r="B707" s="2" t="s">
        <v>2908</v>
      </c>
      <c r="C707" s="2" t="s">
        <v>2909</v>
      </c>
      <c r="D707" s="8" t="s">
        <v>827</v>
      </c>
    </row>
    <row r="708">
      <c r="A708" s="8" t="s">
        <v>2910</v>
      </c>
      <c r="B708" s="2" t="s">
        <v>2911</v>
      </c>
      <c r="C708" s="2" t="s">
        <v>2912</v>
      </c>
      <c r="D708" s="8" t="s">
        <v>827</v>
      </c>
    </row>
    <row r="709">
      <c r="A709" s="8" t="s">
        <v>2913</v>
      </c>
      <c r="B709" s="2" t="s">
        <v>2914</v>
      </c>
      <c r="C709" s="2" t="s">
        <v>2915</v>
      </c>
      <c r="D709" s="8" t="s">
        <v>811</v>
      </c>
    </row>
    <row r="710">
      <c r="A710" s="8" t="s">
        <v>2916</v>
      </c>
      <c r="B710" s="2" t="s">
        <v>2917</v>
      </c>
      <c r="C710" s="2" t="s">
        <v>2918</v>
      </c>
      <c r="D710" s="8" t="s">
        <v>801</v>
      </c>
    </row>
    <row r="711">
      <c r="A711" s="8" t="s">
        <v>2919</v>
      </c>
      <c r="B711" s="2" t="s">
        <v>2920</v>
      </c>
      <c r="C711" s="2" t="s">
        <v>2921</v>
      </c>
      <c r="D711" s="8" t="s">
        <v>861</v>
      </c>
    </row>
    <row r="712">
      <c r="A712" s="8" t="s">
        <v>2922</v>
      </c>
      <c r="B712" s="2" t="s">
        <v>2923</v>
      </c>
      <c r="C712" s="2" t="s">
        <v>2924</v>
      </c>
      <c r="D712" s="8" t="s">
        <v>827</v>
      </c>
    </row>
    <row r="713">
      <c r="A713" s="8" t="s">
        <v>2925</v>
      </c>
      <c r="B713" s="2" t="s">
        <v>2926</v>
      </c>
      <c r="C713" s="2" t="s">
        <v>2927</v>
      </c>
      <c r="D713" s="8" t="s">
        <v>797</v>
      </c>
    </row>
    <row r="714">
      <c r="A714" s="8" t="s">
        <v>2928</v>
      </c>
      <c r="B714" s="2" t="s">
        <v>2929</v>
      </c>
      <c r="C714" s="2" t="s">
        <v>2930</v>
      </c>
      <c r="D714" s="8" t="s">
        <v>865</v>
      </c>
    </row>
    <row r="715">
      <c r="A715" s="8" t="s">
        <v>2931</v>
      </c>
      <c r="B715" s="2" t="s">
        <v>2932</v>
      </c>
      <c r="C715" s="2" t="s">
        <v>2933</v>
      </c>
      <c r="D715" s="8" t="s">
        <v>865</v>
      </c>
    </row>
    <row r="716">
      <c r="A716" s="8" t="s">
        <v>2934</v>
      </c>
      <c r="B716" s="2" t="s">
        <v>2935</v>
      </c>
      <c r="C716" s="2" t="s">
        <v>2936</v>
      </c>
      <c r="D716" s="8" t="s">
        <v>801</v>
      </c>
    </row>
    <row r="717">
      <c r="A717" s="8" t="s">
        <v>2937</v>
      </c>
      <c r="B717" s="2" t="s">
        <v>2938</v>
      </c>
      <c r="C717" s="2" t="s">
        <v>2939</v>
      </c>
      <c r="D717" s="8" t="s">
        <v>811</v>
      </c>
    </row>
    <row r="718">
      <c r="A718" s="8" t="s">
        <v>2940</v>
      </c>
      <c r="B718" s="2" t="s">
        <v>2941</v>
      </c>
      <c r="C718" s="2" t="s">
        <v>2942</v>
      </c>
      <c r="D718" s="8" t="s">
        <v>801</v>
      </c>
    </row>
    <row r="719">
      <c r="A719" s="8" t="s">
        <v>2943</v>
      </c>
      <c r="B719" s="2" t="s">
        <v>2944</v>
      </c>
      <c r="C719" s="2" t="s">
        <v>2945</v>
      </c>
      <c r="D719" s="8" t="s">
        <v>787</v>
      </c>
    </row>
    <row r="720">
      <c r="A720" s="8" t="s">
        <v>2946</v>
      </c>
      <c r="B720" s="2" t="s">
        <v>2947</v>
      </c>
      <c r="C720" s="2" t="s">
        <v>2948</v>
      </c>
      <c r="D720" s="8" t="s">
        <v>797</v>
      </c>
    </row>
    <row r="721">
      <c r="A721" s="8" t="s">
        <v>2949</v>
      </c>
      <c r="B721" s="2" t="s">
        <v>2950</v>
      </c>
      <c r="C721" s="2" t="s">
        <v>2951</v>
      </c>
      <c r="D721" s="8" t="s">
        <v>787</v>
      </c>
    </row>
    <row r="722">
      <c r="A722" s="8" t="s">
        <v>2952</v>
      </c>
      <c r="B722" s="2" t="s">
        <v>2953</v>
      </c>
      <c r="C722" s="2" t="s">
        <v>2954</v>
      </c>
      <c r="D722" s="8" t="s">
        <v>801</v>
      </c>
    </row>
    <row r="723">
      <c r="A723" s="8" t="s">
        <v>2955</v>
      </c>
      <c r="B723" s="2" t="s">
        <v>2956</v>
      </c>
      <c r="C723" s="2" t="s">
        <v>2957</v>
      </c>
      <c r="D723" s="8" t="s">
        <v>801</v>
      </c>
    </row>
    <row r="724">
      <c r="A724" s="8" t="s">
        <v>2958</v>
      </c>
      <c r="B724" s="2" t="s">
        <v>2959</v>
      </c>
      <c r="C724" s="2" t="s">
        <v>2960</v>
      </c>
      <c r="D724" s="8" t="s">
        <v>811</v>
      </c>
    </row>
    <row r="725">
      <c r="A725" s="8" t="s">
        <v>2961</v>
      </c>
      <c r="B725" s="2" t="s">
        <v>2962</v>
      </c>
      <c r="C725" s="2" t="s">
        <v>2963</v>
      </c>
      <c r="D725" s="8" t="s">
        <v>861</v>
      </c>
    </row>
    <row r="726">
      <c r="A726" s="8" t="s">
        <v>2964</v>
      </c>
      <c r="B726" s="2" t="s">
        <v>2965</v>
      </c>
      <c r="C726" s="2" t="s">
        <v>2966</v>
      </c>
      <c r="D726" s="8" t="s">
        <v>787</v>
      </c>
    </row>
    <row r="727">
      <c r="A727" s="8" t="s">
        <v>2967</v>
      </c>
      <c r="B727" s="2" t="s">
        <v>2968</v>
      </c>
      <c r="C727" s="2" t="s">
        <v>2969</v>
      </c>
      <c r="D727" s="8" t="s">
        <v>861</v>
      </c>
    </row>
    <row r="728">
      <c r="A728" s="8" t="s">
        <v>2970</v>
      </c>
      <c r="B728" s="2" t="s">
        <v>2971</v>
      </c>
      <c r="C728" s="2" t="s">
        <v>2972</v>
      </c>
      <c r="D728" s="8" t="s">
        <v>865</v>
      </c>
    </row>
    <row r="729">
      <c r="A729" s="8" t="s">
        <v>2973</v>
      </c>
      <c r="B729" s="2" t="s">
        <v>2974</v>
      </c>
      <c r="C729" s="2" t="s">
        <v>2975</v>
      </c>
      <c r="D729" s="8" t="s">
        <v>861</v>
      </c>
    </row>
    <row r="730">
      <c r="A730" s="8" t="s">
        <v>2976</v>
      </c>
      <c r="B730" s="2" t="s">
        <v>2977</v>
      </c>
      <c r="C730" s="2" t="s">
        <v>2978</v>
      </c>
      <c r="D730" s="8" t="s">
        <v>865</v>
      </c>
    </row>
    <row r="731">
      <c r="A731" s="8" t="s">
        <v>2979</v>
      </c>
      <c r="B731" s="2" t="s">
        <v>2980</v>
      </c>
      <c r="C731" s="2" t="s">
        <v>2981</v>
      </c>
      <c r="D731" s="8" t="s">
        <v>801</v>
      </c>
    </row>
    <row r="732">
      <c r="A732" s="8" t="s">
        <v>2982</v>
      </c>
      <c r="B732" s="2" t="s">
        <v>2983</v>
      </c>
      <c r="C732" s="2" t="s">
        <v>2984</v>
      </c>
      <c r="D732" s="8" t="s">
        <v>827</v>
      </c>
    </row>
    <row r="733">
      <c r="A733" s="8" t="s">
        <v>2985</v>
      </c>
      <c r="B733" s="2" t="s">
        <v>2986</v>
      </c>
      <c r="C733" s="2" t="s">
        <v>2987</v>
      </c>
      <c r="D733" s="8" t="s">
        <v>827</v>
      </c>
    </row>
    <row r="734">
      <c r="A734" s="8" t="s">
        <v>2988</v>
      </c>
      <c r="B734" s="2" t="s">
        <v>2989</v>
      </c>
      <c r="C734" s="2" t="s">
        <v>2990</v>
      </c>
      <c r="D734" s="8" t="s">
        <v>827</v>
      </c>
    </row>
    <row r="735">
      <c r="A735" s="8" t="s">
        <v>2991</v>
      </c>
      <c r="B735" s="2" t="s">
        <v>2992</v>
      </c>
      <c r="C735" s="2" t="s">
        <v>2993</v>
      </c>
      <c r="D735" s="8" t="s">
        <v>827</v>
      </c>
    </row>
    <row r="736">
      <c r="A736" s="8" t="s">
        <v>2994</v>
      </c>
      <c r="B736" s="2" t="s">
        <v>2995</v>
      </c>
      <c r="C736" s="2" t="s">
        <v>2996</v>
      </c>
      <c r="D736" s="8" t="s">
        <v>827</v>
      </c>
    </row>
    <row r="737">
      <c r="A737" s="8" t="s">
        <v>2997</v>
      </c>
      <c r="B737" s="2" t="s">
        <v>2998</v>
      </c>
      <c r="C737" s="2" t="s">
        <v>2999</v>
      </c>
      <c r="D737" s="8" t="s">
        <v>827</v>
      </c>
    </row>
    <row r="738">
      <c r="A738" s="8" t="s">
        <v>3000</v>
      </c>
      <c r="B738" s="2" t="s">
        <v>3001</v>
      </c>
      <c r="C738" s="2" t="s">
        <v>3002</v>
      </c>
      <c r="D738" s="8" t="s">
        <v>827</v>
      </c>
    </row>
    <row r="739">
      <c r="A739" s="8" t="s">
        <v>3003</v>
      </c>
      <c r="B739" s="2" t="s">
        <v>3004</v>
      </c>
      <c r="C739" s="2" t="s">
        <v>3005</v>
      </c>
      <c r="D739" s="8" t="s">
        <v>827</v>
      </c>
    </row>
    <row r="740">
      <c r="A740" s="8" t="s">
        <v>3006</v>
      </c>
      <c r="B740" s="2" t="s">
        <v>3007</v>
      </c>
      <c r="C740" s="2" t="s">
        <v>3008</v>
      </c>
      <c r="D740" s="8" t="s">
        <v>797</v>
      </c>
    </row>
    <row r="741">
      <c r="A741" s="8" t="s">
        <v>3009</v>
      </c>
      <c r="B741" s="2" t="s">
        <v>3010</v>
      </c>
      <c r="C741" s="2" t="s">
        <v>3011</v>
      </c>
      <c r="D741" s="8" t="s">
        <v>865</v>
      </c>
    </row>
    <row r="742">
      <c r="A742" s="8" t="s">
        <v>3012</v>
      </c>
      <c r="B742" s="2" t="s">
        <v>3013</v>
      </c>
      <c r="C742" s="2" t="s">
        <v>3014</v>
      </c>
      <c r="D742" s="8" t="s">
        <v>801</v>
      </c>
    </row>
    <row r="743">
      <c r="A743" s="8" t="s">
        <v>3015</v>
      </c>
      <c r="B743" s="2" t="s">
        <v>3016</v>
      </c>
      <c r="C743" s="2" t="s">
        <v>3017</v>
      </c>
      <c r="D743" s="8" t="s">
        <v>801</v>
      </c>
    </row>
    <row r="744">
      <c r="A744" s="8" t="s">
        <v>3018</v>
      </c>
      <c r="B744" s="2" t="s">
        <v>3019</v>
      </c>
      <c r="C744" s="2" t="s">
        <v>3020</v>
      </c>
      <c r="D744" s="8" t="s">
        <v>811</v>
      </c>
    </row>
    <row r="745">
      <c r="A745" s="8" t="s">
        <v>3021</v>
      </c>
      <c r="B745" s="2" t="s">
        <v>3022</v>
      </c>
      <c r="C745" s="2" t="s">
        <v>3023</v>
      </c>
      <c r="D745" s="8" t="s">
        <v>801</v>
      </c>
    </row>
    <row r="746">
      <c r="A746" s="8" t="s">
        <v>3024</v>
      </c>
      <c r="B746" s="2" t="s">
        <v>3025</v>
      </c>
      <c r="C746" s="2" t="s">
        <v>3026</v>
      </c>
      <c r="D746" s="8" t="s">
        <v>811</v>
      </c>
    </row>
    <row r="747">
      <c r="A747" s="8" t="s">
        <v>3027</v>
      </c>
      <c r="B747" s="2" t="s">
        <v>3028</v>
      </c>
      <c r="C747" s="2" t="s">
        <v>3029</v>
      </c>
      <c r="D747" s="8" t="s">
        <v>797</v>
      </c>
    </row>
    <row r="748">
      <c r="A748" s="8" t="s">
        <v>3030</v>
      </c>
      <c r="B748" s="2" t="s">
        <v>3031</v>
      </c>
      <c r="C748" s="2" t="s">
        <v>3032</v>
      </c>
      <c r="D748" s="8" t="s">
        <v>801</v>
      </c>
    </row>
    <row r="749">
      <c r="A749" s="8" t="s">
        <v>3033</v>
      </c>
      <c r="B749" s="2" t="s">
        <v>3034</v>
      </c>
      <c r="C749" s="2" t="s">
        <v>3035</v>
      </c>
      <c r="D749" s="8" t="s">
        <v>827</v>
      </c>
    </row>
    <row r="750">
      <c r="A750" s="8" t="s">
        <v>3036</v>
      </c>
      <c r="B750" s="2" t="s">
        <v>3037</v>
      </c>
      <c r="C750" s="2" t="s">
        <v>3038</v>
      </c>
      <c r="D750" s="8" t="s">
        <v>865</v>
      </c>
    </row>
    <row r="751">
      <c r="A751" s="8" t="s">
        <v>3039</v>
      </c>
      <c r="B751" s="2" t="s">
        <v>3040</v>
      </c>
      <c r="C751" s="2" t="s">
        <v>3041</v>
      </c>
      <c r="D751" s="8" t="s">
        <v>801</v>
      </c>
    </row>
    <row r="752">
      <c r="A752" s="8" t="s">
        <v>3042</v>
      </c>
      <c r="B752" s="2" t="s">
        <v>3043</v>
      </c>
      <c r="C752" s="2" t="s">
        <v>3044</v>
      </c>
      <c r="D752" s="8" t="s">
        <v>797</v>
      </c>
    </row>
    <row r="753">
      <c r="A753" s="8" t="s">
        <v>3045</v>
      </c>
      <c r="B753" s="2" t="s">
        <v>3046</v>
      </c>
      <c r="C753" s="2" t="s">
        <v>3047</v>
      </c>
      <c r="D753" s="8" t="s">
        <v>801</v>
      </c>
    </row>
    <row r="754">
      <c r="A754" s="8" t="s">
        <v>3048</v>
      </c>
      <c r="B754" s="2" t="s">
        <v>3049</v>
      </c>
      <c r="C754" s="2" t="s">
        <v>3050</v>
      </c>
      <c r="D754" s="8" t="s">
        <v>827</v>
      </c>
    </row>
    <row r="755">
      <c r="A755" s="8" t="s">
        <v>3051</v>
      </c>
      <c r="B755" s="2" t="s">
        <v>3052</v>
      </c>
      <c r="C755" s="2" t="s">
        <v>3053</v>
      </c>
      <c r="D755" s="8" t="s">
        <v>811</v>
      </c>
    </row>
    <row r="756">
      <c r="A756" s="8" t="s">
        <v>3054</v>
      </c>
      <c r="B756" s="2" t="s">
        <v>3055</v>
      </c>
      <c r="C756" s="2" t="s">
        <v>3056</v>
      </c>
      <c r="D756" s="8" t="s">
        <v>827</v>
      </c>
    </row>
    <row r="757">
      <c r="A757" s="8" t="s">
        <v>3057</v>
      </c>
      <c r="B757" s="2" t="s">
        <v>3058</v>
      </c>
      <c r="C757" s="2" t="s">
        <v>3059</v>
      </c>
      <c r="D757" s="8" t="s">
        <v>797</v>
      </c>
    </row>
    <row r="758">
      <c r="A758" s="8" t="s">
        <v>3060</v>
      </c>
      <c r="B758" s="2" t="s">
        <v>3061</v>
      </c>
      <c r="C758" s="2" t="s">
        <v>3062</v>
      </c>
      <c r="D758" s="8" t="s">
        <v>861</v>
      </c>
    </row>
    <row r="759">
      <c r="A759" s="8" t="s">
        <v>3063</v>
      </c>
      <c r="B759" s="2" t="s">
        <v>3064</v>
      </c>
      <c r="C759" s="2" t="s">
        <v>3065</v>
      </c>
      <c r="D759" s="8" t="s">
        <v>827</v>
      </c>
    </row>
    <row r="760">
      <c r="A760" s="8" t="s">
        <v>3066</v>
      </c>
      <c r="B760" s="2" t="s">
        <v>3067</v>
      </c>
      <c r="C760" s="2" t="s">
        <v>3068</v>
      </c>
      <c r="D760" s="8" t="s">
        <v>827</v>
      </c>
    </row>
    <row r="761">
      <c r="A761" s="8" t="s">
        <v>3069</v>
      </c>
      <c r="B761" s="2" t="s">
        <v>3070</v>
      </c>
      <c r="C761" s="2" t="s">
        <v>3071</v>
      </c>
      <c r="D761" s="8" t="s">
        <v>801</v>
      </c>
    </row>
    <row r="762">
      <c r="A762" s="8" t="s">
        <v>3072</v>
      </c>
      <c r="B762" s="2" t="s">
        <v>3073</v>
      </c>
      <c r="C762" s="2" t="s">
        <v>3074</v>
      </c>
      <c r="D762" s="8" t="s">
        <v>811</v>
      </c>
    </row>
    <row r="763">
      <c r="A763" s="8" t="s">
        <v>3075</v>
      </c>
      <c r="B763" s="2" t="s">
        <v>3076</v>
      </c>
      <c r="C763" s="2" t="s">
        <v>3077</v>
      </c>
      <c r="D763" s="8" t="s">
        <v>811</v>
      </c>
    </row>
    <row r="764">
      <c r="A764" s="8" t="s">
        <v>3078</v>
      </c>
      <c r="B764" s="2" t="s">
        <v>3079</v>
      </c>
      <c r="C764" s="2" t="s">
        <v>3080</v>
      </c>
      <c r="D764" s="8" t="s">
        <v>827</v>
      </c>
    </row>
    <row r="765">
      <c r="A765" s="8" t="s">
        <v>3081</v>
      </c>
      <c r="B765" s="2" t="s">
        <v>3082</v>
      </c>
      <c r="C765" s="2" t="s">
        <v>3083</v>
      </c>
      <c r="D765" s="8" t="s">
        <v>811</v>
      </c>
    </row>
    <row r="766">
      <c r="A766" s="8" t="s">
        <v>3084</v>
      </c>
      <c r="B766" s="2" t="s">
        <v>3085</v>
      </c>
      <c r="C766" s="2" t="s">
        <v>3086</v>
      </c>
      <c r="D766" s="8" t="s">
        <v>878</v>
      </c>
    </row>
    <row r="767">
      <c r="A767" s="8" t="s">
        <v>3087</v>
      </c>
      <c r="B767" s="2" t="s">
        <v>3088</v>
      </c>
      <c r="C767" s="2" t="s">
        <v>3089</v>
      </c>
      <c r="D767" s="8" t="s">
        <v>827</v>
      </c>
    </row>
    <row r="768">
      <c r="A768" s="8" t="s">
        <v>3090</v>
      </c>
      <c r="B768" s="2" t="s">
        <v>3091</v>
      </c>
      <c r="C768" s="2" t="s">
        <v>3092</v>
      </c>
      <c r="D768" s="8" t="s">
        <v>801</v>
      </c>
    </row>
    <row r="769">
      <c r="A769" s="8" t="s">
        <v>3093</v>
      </c>
      <c r="B769" s="2" t="s">
        <v>3094</v>
      </c>
      <c r="C769" s="2" t="s">
        <v>3095</v>
      </c>
      <c r="D769" s="8" t="s">
        <v>878</v>
      </c>
    </row>
    <row r="770">
      <c r="A770" s="8" t="s">
        <v>3096</v>
      </c>
      <c r="B770" s="2" t="s">
        <v>3097</v>
      </c>
      <c r="C770" s="2" t="s">
        <v>3098</v>
      </c>
      <c r="D770" s="8" t="s">
        <v>861</v>
      </c>
    </row>
    <row r="771">
      <c r="A771" s="8" t="s">
        <v>3099</v>
      </c>
      <c r="B771" s="2" t="s">
        <v>3100</v>
      </c>
      <c r="C771" s="2" t="s">
        <v>3101</v>
      </c>
      <c r="D771" s="8" t="s">
        <v>861</v>
      </c>
    </row>
    <row r="772">
      <c r="A772" s="8" t="s">
        <v>3102</v>
      </c>
      <c r="B772" s="2" t="s">
        <v>3103</v>
      </c>
      <c r="C772" s="2" t="s">
        <v>3104</v>
      </c>
      <c r="D772" s="8" t="s">
        <v>797</v>
      </c>
    </row>
    <row r="773">
      <c r="A773" s="8" t="s">
        <v>3105</v>
      </c>
      <c r="B773" s="2" t="s">
        <v>3106</v>
      </c>
      <c r="C773" s="2" t="s">
        <v>3107</v>
      </c>
      <c r="D773" s="8" t="s">
        <v>811</v>
      </c>
    </row>
    <row r="774">
      <c r="A774" s="8" t="s">
        <v>3108</v>
      </c>
      <c r="B774" s="2" t="s">
        <v>3109</v>
      </c>
      <c r="C774" s="2" t="s">
        <v>3110</v>
      </c>
      <c r="D774" s="8" t="s">
        <v>861</v>
      </c>
    </row>
    <row r="775">
      <c r="A775" s="8" t="s">
        <v>3111</v>
      </c>
      <c r="B775" s="2" t="s">
        <v>3112</v>
      </c>
      <c r="C775" s="2" t="s">
        <v>3113</v>
      </c>
      <c r="D775" s="8" t="s">
        <v>827</v>
      </c>
    </row>
    <row r="776">
      <c r="A776" s="8" t="s">
        <v>3114</v>
      </c>
      <c r="B776" s="2" t="s">
        <v>3115</v>
      </c>
      <c r="C776" s="2" t="s">
        <v>3116</v>
      </c>
      <c r="D776" s="8" t="s">
        <v>827</v>
      </c>
    </row>
    <row r="777">
      <c r="A777" s="8" t="s">
        <v>3117</v>
      </c>
      <c r="B777" s="2" t="s">
        <v>3118</v>
      </c>
      <c r="C777" s="2" t="s">
        <v>3119</v>
      </c>
      <c r="D777" s="8" t="s">
        <v>801</v>
      </c>
    </row>
    <row r="778">
      <c r="A778" s="8" t="s">
        <v>3120</v>
      </c>
      <c r="B778" s="2" t="s">
        <v>3121</v>
      </c>
      <c r="C778" s="2" t="s">
        <v>3122</v>
      </c>
      <c r="D778" s="8" t="s">
        <v>811</v>
      </c>
    </row>
    <row r="779">
      <c r="A779" s="8" t="s">
        <v>3123</v>
      </c>
      <c r="B779" s="2" t="s">
        <v>3124</v>
      </c>
      <c r="C779" s="2" t="s">
        <v>3125</v>
      </c>
      <c r="D779" s="8" t="s">
        <v>827</v>
      </c>
    </row>
    <row r="780">
      <c r="A780" s="8" t="s">
        <v>3126</v>
      </c>
      <c r="B780" s="8" t="s">
        <v>3127</v>
      </c>
      <c r="C780" s="9" t="s">
        <v>3128</v>
      </c>
      <c r="D780" s="8" t="s">
        <v>861</v>
      </c>
    </row>
    <row r="781">
      <c r="A781" s="8" t="s">
        <v>3129</v>
      </c>
      <c r="B781" s="2" t="s">
        <v>3130</v>
      </c>
      <c r="C781" s="2" t="s">
        <v>3131</v>
      </c>
      <c r="D781" s="8" t="s">
        <v>787</v>
      </c>
    </row>
    <row r="782">
      <c r="A782" s="8" t="s">
        <v>3132</v>
      </c>
      <c r="B782" s="2" t="s">
        <v>3133</v>
      </c>
      <c r="C782" s="2" t="s">
        <v>3134</v>
      </c>
      <c r="D782" s="8" t="s">
        <v>811</v>
      </c>
    </row>
  </sheetData>
  <drawing r:id="rId1"/>
</worksheet>
</file>